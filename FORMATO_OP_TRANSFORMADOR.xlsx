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ld\OneDrive\Escritorio\REVOLTPROGRAM\"/>
    </mc:Choice>
  </mc:AlternateContent>
  <xr:revisionPtr revIDLastSave="0" documentId="8_{72B7A6DD-175C-4E64-8181-0669ADD55E4A}" xr6:coauthVersionLast="47" xr6:coauthVersionMax="47" xr10:uidLastSave="{00000000-0000-0000-0000-000000000000}"/>
  <bookViews>
    <workbookView xWindow="28680" yWindow="-900" windowWidth="20730" windowHeight="11040" xr2:uid="{531D9F75-EC5D-4B29-B297-D9D4FFD9325F}"/>
  </bookViews>
  <sheets>
    <sheet name="ORDEN DE PRODUCCION TRANSF" sheetId="1" r:id="rId1"/>
  </sheets>
  <definedNames>
    <definedName name="_xlnm.Print_Area" localSheetId="0">'ORDEN DE PRODUCCION TRANSF'!$A$1:$P$52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2" i="1" l="1"/>
  <c r="I52" i="1"/>
  <c r="A52" i="1"/>
  <c r="N49" i="1"/>
  <c r="K49" i="1"/>
  <c r="E49" i="1"/>
  <c r="A49" i="1"/>
  <c r="A45" i="1"/>
  <c r="K44" i="1"/>
  <c r="I37" i="1"/>
  <c r="G37" i="1"/>
  <c r="D37" i="1"/>
  <c r="B37" i="1"/>
  <c r="C35" i="1"/>
  <c r="A35" i="1"/>
  <c r="M32" i="1"/>
  <c r="P30" i="1"/>
  <c r="N30" i="1"/>
  <c r="K19" i="1"/>
  <c r="K46" i="1" s="1"/>
  <c r="A19" i="1"/>
  <c r="A46" i="1" s="1"/>
  <c r="K18" i="1"/>
  <c r="K45" i="1" s="1"/>
  <c r="A18" i="1"/>
  <c r="K17" i="1"/>
  <c r="A17" i="1"/>
  <c r="A44" i="1" s="1"/>
  <c r="K16" i="1"/>
  <c r="K43" i="1" s="1"/>
  <c r="K15" i="1"/>
  <c r="K42" i="1" s="1"/>
  <c r="K14" i="1"/>
  <c r="K41" i="1" s="1"/>
  <c r="G14" i="1"/>
  <c r="G41" i="1" s="1"/>
  <c r="K13" i="1"/>
  <c r="K40" i="1" s="1"/>
  <c r="G12" i="1"/>
  <c r="G39" i="1" s="1"/>
  <c r="K10" i="1"/>
  <c r="K37" i="1" s="1"/>
  <c r="I10" i="1"/>
  <c r="G10" i="1"/>
  <c r="D10" i="1"/>
  <c r="B10" i="1"/>
  <c r="W9" i="1"/>
  <c r="L8" i="1" s="1"/>
  <c r="L35" i="1" s="1"/>
  <c r="Z8" i="1"/>
  <c r="W8" i="1"/>
  <c r="I8" i="1" s="1"/>
  <c r="I35" i="1" s="1"/>
  <c r="N8" i="1"/>
  <c r="N35" i="1" s="1"/>
  <c r="M8" i="1"/>
  <c r="M35" i="1" s="1"/>
  <c r="H8" i="1"/>
  <c r="H35" i="1" s="1"/>
  <c r="E8" i="1"/>
  <c r="E35" i="1" s="1"/>
  <c r="C8" i="1"/>
  <c r="A8" i="1"/>
  <c r="Z7" i="1"/>
  <c r="M5" i="1"/>
  <c r="P3" i="1"/>
  <c r="N3" i="1"/>
  <c r="W10" i="1" l="1"/>
</calcChain>
</file>

<file path=xl/sharedStrings.xml><?xml version="1.0" encoding="utf-8"?>
<sst xmlns="http://schemas.openxmlformats.org/spreadsheetml/2006/main" count="114" uniqueCount="65">
  <si>
    <t>FOLIO</t>
  </si>
  <si>
    <t>ORDEN DE PRODUCCION</t>
  </si>
  <si>
    <t>FECHA</t>
  </si>
  <si>
    <t>CLIENTE</t>
  </si>
  <si>
    <t>MADERO EQUIPOS DE ORDEÑO</t>
  </si>
  <si>
    <t>PRODUCTO</t>
  </si>
  <si>
    <t>GABINETE TRANSFORMADOR</t>
  </si>
  <si>
    <t>CAPACIDAD</t>
  </si>
  <si>
    <t>INFORMACION DEL EQUIPO</t>
  </si>
  <si>
    <t>CLIENTE:</t>
  </si>
  <si>
    <t>VOLTAJE</t>
  </si>
  <si>
    <t>AMPERAJE</t>
  </si>
  <si>
    <t>MODELO</t>
  </si>
  <si>
    <t>CANTIDAD</t>
  </si>
  <si>
    <t>FASES</t>
  </si>
  <si>
    <t>Amperaje</t>
  </si>
  <si>
    <t>%</t>
  </si>
  <si>
    <t>Entrada</t>
  </si>
  <si>
    <t>Salida</t>
  </si>
  <si>
    <t>Voltaje</t>
  </si>
  <si>
    <t>4 (CUATRO)</t>
  </si>
  <si>
    <t>KVA</t>
  </si>
  <si>
    <t>ENTRADA</t>
  </si>
  <si>
    <t>Min</t>
  </si>
  <si>
    <t>TIPO</t>
  </si>
  <si>
    <t>No. SERIE</t>
  </si>
  <si>
    <t>SALIDA</t>
  </si>
  <si>
    <t>Sal</t>
  </si>
  <si>
    <t xml:space="preserve">1 F     </t>
  </si>
  <si>
    <t xml:space="preserve">2 F   </t>
  </si>
  <si>
    <t xml:space="preserve">2 FN   </t>
  </si>
  <si>
    <t xml:space="preserve">3 F </t>
  </si>
  <si>
    <t>RMT-1.51-24</t>
  </si>
  <si>
    <t>W/F</t>
  </si>
  <si>
    <t>1F</t>
  </si>
  <si>
    <t>X</t>
  </si>
  <si>
    <t>FECHA INICIO DE PRODUCCION</t>
  </si>
  <si>
    <t xml:space="preserve">ADICIONALES  </t>
  </si>
  <si>
    <t xml:space="preserve">EQUIPO | CLIENTE | STATUS </t>
  </si>
  <si>
    <t>2F</t>
  </si>
  <si>
    <t>.</t>
  </si>
  <si>
    <t>FECHA SALIDA DE PRODUCCION</t>
  </si>
  <si>
    <t>2FN</t>
  </si>
  <si>
    <t>3F</t>
  </si>
  <si>
    <t>OBSERVACIONES</t>
  </si>
  <si>
    <t>TR150024226, TR150024227, TR150024228, TR150024229</t>
  </si>
  <si>
    <t>FECHA DE SALIDA</t>
  </si>
  <si>
    <t>ADICIONALES</t>
  </si>
  <si>
    <t>CON DISYUNTOR EN RIEL DIN</t>
  </si>
  <si>
    <t>CON DOS CONECTORES GLANDULA CADA UNO</t>
  </si>
  <si>
    <t>CON JAULA DE EMBARQUE</t>
  </si>
  <si>
    <t>VENTAS</t>
  </si>
  <si>
    <t>DIRECCION DE OPERACIONES</t>
  </si>
  <si>
    <t>COMPRAS</t>
  </si>
  <si>
    <t>PRODUCCION</t>
  </si>
  <si>
    <t>HUGO CORTES</t>
  </si>
  <si>
    <t>CARMEN BASTIDA</t>
  </si>
  <si>
    <t>NADIA LOPEZ</t>
  </si>
  <si>
    <t>JOAQUIN HERNANDEZ</t>
  </si>
  <si>
    <t xml:space="preserve"> </t>
  </si>
  <si>
    <t>RM-FR-10</t>
  </si>
  <si>
    <t>Rev.7</t>
  </si>
  <si>
    <t>Fecha de Revisión: 01-10-2021</t>
  </si>
  <si>
    <t>DATOS DEL EQUIPO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</si>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</sst>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2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9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15" fontId="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textRotation="90"/>
    </xf>
    <xf numFmtId="0" fontId="5" fillId="2" borderId="3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2" fontId="13" fillId="3" borderId="33" xfId="0" applyNumberFormat="1" applyFont="1" applyFill="1" applyBorder="1" applyAlignment="1">
      <alignment horizontal="center" vertical="center"/>
    </xf>
    <xf numFmtId="0" fontId="4" fillId="2" borderId="34" xfId="0" applyFont="1" applyFill="1" applyBorder="1"/>
    <xf numFmtId="10" fontId="13" fillId="3" borderId="35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0" fillId="0" borderId="11" xfId="0" applyBorder="1" applyAlignment="1">
      <alignment horizontal="right" vertical="center"/>
    </xf>
    <xf numFmtId="0" fontId="0" fillId="0" borderId="37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textRotation="90"/>
    </xf>
    <xf numFmtId="0" fontId="13" fillId="0" borderId="34" xfId="0" applyFont="1" applyBorder="1" applyAlignment="1">
      <alignment horizontal="center" vertical="center"/>
    </xf>
    <xf numFmtId="2" fontId="19" fillId="3" borderId="33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vertical="center"/>
    </xf>
    <xf numFmtId="10" fontId="13" fillId="3" borderId="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textRotation="90"/>
    </xf>
    <xf numFmtId="0" fontId="13" fillId="0" borderId="31" xfId="0" applyFont="1" applyBorder="1" applyAlignment="1">
      <alignment horizontal="center" vertical="center"/>
    </xf>
    <xf numFmtId="2" fontId="19" fillId="3" borderId="45" xfId="0" applyNumberFormat="1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vertical="center" wrapText="1"/>
    </xf>
    <xf numFmtId="0" fontId="16" fillId="2" borderId="46" xfId="0" applyFont="1" applyFill="1" applyBorder="1" applyAlignment="1">
      <alignment horizontal="center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" fontId="3" fillId="0" borderId="47" xfId="0" applyNumberFormat="1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2" fillId="2" borderId="44" xfId="0" applyFont="1" applyFill="1" applyBorder="1" applyAlignment="1">
      <alignment horizontal="center" vertical="center" wrapText="1"/>
    </xf>
    <xf numFmtId="165" fontId="13" fillId="0" borderId="50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right"/>
    </xf>
    <xf numFmtId="0" fontId="22" fillId="2" borderId="17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16" fontId="19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15" fontId="3" fillId="0" borderId="52" xfId="0" applyNumberFormat="1" applyFont="1" applyBorder="1" applyAlignment="1">
      <alignment horizontal="center" vertical="center"/>
    </xf>
    <xf numFmtId="15" fontId="3" fillId="0" borderId="53" xfId="0" applyNumberFormat="1" applyFont="1" applyBorder="1" applyAlignment="1">
      <alignment horizontal="center" vertical="center"/>
    </xf>
    <xf numFmtId="15" fontId="3" fillId="0" borderId="54" xfId="0" applyNumberFormat="1" applyFont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top"/>
    </xf>
    <xf numFmtId="0" fontId="23" fillId="3" borderId="13" xfId="0" applyFont="1" applyFill="1" applyBorder="1" applyAlignment="1">
      <alignment horizontal="center" vertical="top"/>
    </xf>
    <xf numFmtId="0" fontId="22" fillId="2" borderId="40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15" fontId="3" fillId="0" borderId="45" xfId="0" applyNumberFormat="1" applyFont="1" applyBorder="1" applyAlignment="1">
      <alignment horizontal="center" vertical="center"/>
    </xf>
    <xf numFmtId="15" fontId="3" fillId="0" borderId="47" xfId="0" applyNumberFormat="1" applyFont="1" applyBorder="1" applyAlignment="1">
      <alignment horizontal="center" vertical="center"/>
    </xf>
    <xf numFmtId="15" fontId="3" fillId="0" borderId="48" xfId="0" applyNumberFormat="1" applyFont="1" applyBorder="1" applyAlignment="1">
      <alignment horizontal="center" vertical="center"/>
    </xf>
    <xf numFmtId="16" fontId="3" fillId="0" borderId="52" xfId="0" applyNumberFormat="1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5" fillId="5" borderId="55" xfId="0" applyFont="1" applyFill="1" applyBorder="1" applyAlignment="1">
      <alignment horizontal="left" vertical="center"/>
    </xf>
    <xf numFmtId="0" fontId="25" fillId="5" borderId="9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6" fillId="2" borderId="58" xfId="0" applyFont="1" applyFill="1" applyBorder="1" applyAlignment="1">
      <alignment horizontal="center" vertical="center"/>
    </xf>
    <xf numFmtId="0" fontId="26" fillId="2" borderId="59" xfId="0" applyFont="1" applyFill="1" applyBorder="1" applyAlignment="1">
      <alignment horizontal="center" vertical="center"/>
    </xf>
    <xf numFmtId="16" fontId="3" fillId="0" borderId="11" xfId="0" applyNumberFormat="1" applyFont="1" applyBorder="1" applyAlignment="1">
      <alignment horizontal="left" vertical="center"/>
    </xf>
    <xf numFmtId="16" fontId="3" fillId="0" borderId="12" xfId="0" applyNumberFormat="1" applyFont="1" applyBorder="1" applyAlignment="1">
      <alignment horizontal="left" vertical="center"/>
    </xf>
    <xf numFmtId="16" fontId="3" fillId="0" borderId="13" xfId="0" applyNumberFormat="1" applyFont="1" applyBorder="1" applyAlignment="1">
      <alignment horizontal="left" vertical="center"/>
    </xf>
    <xf numFmtId="0" fontId="3" fillId="0" borderId="52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26" fillId="2" borderId="41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center" vertical="center"/>
    </xf>
    <xf numFmtId="16" fontId="3" fillId="0" borderId="59" xfId="0" applyNumberFormat="1" applyFont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3" fillId="0" borderId="3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7" xfId="0" applyFont="1" applyBorder="1" applyAlignment="1">
      <alignment horizontal="left"/>
    </xf>
    <xf numFmtId="0" fontId="27" fillId="2" borderId="52" xfId="0" applyFont="1" applyFill="1" applyBorder="1" applyAlignment="1">
      <alignment horizontal="center" vertical="center"/>
    </xf>
    <xf numFmtId="0" fontId="27" fillId="2" borderId="54" xfId="0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3" fillId="0" borderId="45" xfId="0" applyFont="1" applyBorder="1" applyAlignment="1">
      <alignment horizontal="left"/>
    </xf>
    <xf numFmtId="0" fontId="3" fillId="0" borderId="47" xfId="0" applyFont="1" applyBorder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45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27" fillId="2" borderId="36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28" fillId="3" borderId="11" xfId="0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vertical="center"/>
    </xf>
    <xf numFmtId="0" fontId="28" fillId="3" borderId="13" xfId="0" applyFont="1" applyFill="1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6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37" xfId="0" applyBorder="1" applyAlignment="1">
      <alignment horizontal="right" wrapText="1"/>
    </xf>
    <xf numFmtId="0" fontId="0" fillId="0" borderId="52" xfId="0" applyBorder="1" applyAlignment="1">
      <alignment horizontal="right"/>
    </xf>
    <xf numFmtId="0" fontId="0" fillId="0" borderId="53" xfId="0" applyBorder="1" applyAlignment="1">
      <alignment horizontal="right"/>
    </xf>
    <xf numFmtId="0" fontId="0" fillId="0" borderId="54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7" xfId="0" applyBorder="1" applyAlignment="1">
      <alignment horizontal="right"/>
    </xf>
    <xf numFmtId="0" fontId="0" fillId="0" borderId="45" xfId="0" applyBorder="1" applyAlignment="1">
      <alignment horizontal="right" wrapText="1"/>
    </xf>
    <xf numFmtId="0" fontId="0" fillId="0" borderId="47" xfId="0" applyBorder="1" applyAlignment="1">
      <alignment horizontal="right" wrapText="1"/>
    </xf>
    <xf numFmtId="0" fontId="0" fillId="0" borderId="48" xfId="0" applyBorder="1" applyAlignment="1">
      <alignment horizontal="right" wrapText="1"/>
    </xf>
    <xf numFmtId="0" fontId="0" fillId="0" borderId="45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48" xfId="0" applyBorder="1" applyAlignment="1">
      <alignment horizontal="right"/>
    </xf>
    <xf numFmtId="0" fontId="24" fillId="0" borderId="0" xfId="0" applyFont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15" fontId="3" fillId="7" borderId="7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27" fillId="2" borderId="45" xfId="0" applyFont="1" applyFill="1" applyBorder="1" applyAlignment="1">
      <alignment horizontal="center" vertical="center"/>
    </xf>
    <xf numFmtId="0" fontId="27" fillId="2" borderId="4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7" fillId="7" borderId="47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left" vertical="center"/>
    </xf>
    <xf numFmtId="0" fontId="15" fillId="7" borderId="1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 textRotation="90"/>
    </xf>
    <xf numFmtId="0" fontId="0" fillId="0" borderId="8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63" xfId="0" applyFont="1" applyBorder="1" applyAlignment="1">
      <alignment horizontal="center" vertical="center" textRotation="90"/>
    </xf>
    <xf numFmtId="0" fontId="2" fillId="0" borderId="6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5" xfId="0" applyFont="1" applyBorder="1" applyAlignment="1">
      <alignment horizontal="left" vertical="center"/>
    </xf>
    <xf numFmtId="0" fontId="18" fillId="7" borderId="36" xfId="0" applyFont="1" applyFill="1" applyBorder="1" applyAlignment="1">
      <alignment horizontal="center" vertical="center" wrapText="1"/>
    </xf>
    <xf numFmtId="0" fontId="18" fillId="7" borderId="37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right" vertical="center"/>
    </xf>
    <xf numFmtId="0" fontId="0" fillId="7" borderId="37" xfId="0" applyFill="1" applyBorder="1" applyAlignment="1">
      <alignment horizontal="left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1" fontId="0" fillId="7" borderId="11" xfId="0" applyNumberForma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1" fontId="0" fillId="7" borderId="38" xfId="0" applyNumberFormat="1" applyFill="1" applyBorder="1" applyAlignment="1">
      <alignment horizontal="center" vertical="center"/>
    </xf>
    <xf numFmtId="1" fontId="0" fillId="7" borderId="39" xfId="0" applyNumberForma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3" fillId="7" borderId="41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38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16" fontId="3" fillId="7" borderId="38" xfId="0" applyNumberFormat="1" applyFont="1" applyFill="1" applyBorder="1" applyAlignment="1">
      <alignment horizontal="center" vertical="center" wrapText="1"/>
    </xf>
    <xf numFmtId="0" fontId="3" fillId="7" borderId="42" xfId="0" applyFont="1" applyFill="1" applyBorder="1" applyAlignment="1">
      <alignment horizontal="center" vertical="center" wrapText="1"/>
    </xf>
    <xf numFmtId="0" fontId="3" fillId="7" borderId="44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15" fontId="3" fillId="7" borderId="52" xfId="0" applyNumberFormat="1" applyFont="1" applyFill="1" applyBorder="1" applyAlignment="1">
      <alignment horizontal="center" vertical="center"/>
    </xf>
    <xf numFmtId="15" fontId="3" fillId="7" borderId="53" xfId="0" applyNumberFormat="1" applyFont="1" applyFill="1" applyBorder="1" applyAlignment="1">
      <alignment horizontal="center" vertical="center"/>
    </xf>
    <xf numFmtId="15" fontId="3" fillId="7" borderId="54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top"/>
    </xf>
    <xf numFmtId="0" fontId="3" fillId="3" borderId="13" xfId="0" applyFont="1" applyFill="1" applyBorder="1" applyAlignment="1">
      <alignment horizontal="center" vertical="top"/>
    </xf>
    <xf numFmtId="15" fontId="3" fillId="7" borderId="45" xfId="0" applyNumberFormat="1" applyFont="1" applyFill="1" applyBorder="1" applyAlignment="1">
      <alignment horizontal="center" vertical="center"/>
    </xf>
    <xf numFmtId="15" fontId="3" fillId="7" borderId="47" xfId="0" applyNumberFormat="1" applyFont="1" applyFill="1" applyBorder="1" applyAlignment="1">
      <alignment horizontal="center" vertical="center"/>
    </xf>
    <xf numFmtId="15" fontId="3" fillId="7" borderId="4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7" borderId="37" xfId="0" applyFont="1" applyFill="1" applyBorder="1" applyAlignment="1">
      <alignment horizontal="left" vertical="center"/>
    </xf>
    <xf numFmtId="15" fontId="3" fillId="7" borderId="36" xfId="0" applyNumberFormat="1" applyFont="1" applyFill="1" applyBorder="1" applyAlignment="1">
      <alignment horizontal="center" vertical="center"/>
    </xf>
    <xf numFmtId="15" fontId="3" fillId="7" borderId="0" xfId="0" applyNumberFormat="1" applyFont="1" applyFill="1" applyAlignment="1">
      <alignment horizontal="center" vertical="center"/>
    </xf>
    <xf numFmtId="15" fontId="3" fillId="7" borderId="37" xfId="0" applyNumberFormat="1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left" vertical="center"/>
    </xf>
    <xf numFmtId="0" fontId="3" fillId="7" borderId="36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3" fillId="7" borderId="37" xfId="0" applyFont="1" applyFill="1" applyBorder="1" applyAlignment="1">
      <alignment horizontal="left"/>
    </xf>
    <xf numFmtId="0" fontId="3" fillId="7" borderId="45" xfId="0" applyFont="1" applyFill="1" applyBorder="1" applyAlignment="1">
      <alignment horizontal="left"/>
    </xf>
    <xf numFmtId="0" fontId="3" fillId="7" borderId="47" xfId="0" applyFont="1" applyFill="1" applyBorder="1" applyAlignment="1">
      <alignment horizontal="left"/>
    </xf>
    <xf numFmtId="0" fontId="3" fillId="7" borderId="48" xfId="0" applyFont="1" applyFill="1" applyBorder="1" applyAlignment="1">
      <alignment horizontal="left"/>
    </xf>
    <xf numFmtId="0" fontId="3" fillId="7" borderId="45" xfId="0" applyFont="1" applyFill="1" applyBorder="1" applyAlignment="1">
      <alignment horizontal="left" vertical="center"/>
    </xf>
    <xf numFmtId="0" fontId="3" fillId="7" borderId="47" xfId="0" applyFont="1" applyFill="1" applyBorder="1" applyAlignment="1">
      <alignment horizontal="left" vertical="center"/>
    </xf>
    <xf numFmtId="0" fontId="3" fillId="7" borderId="48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7" borderId="36" xfId="0" applyFill="1" applyBorder="1" applyAlignment="1">
      <alignment horizontal="right" wrapText="1"/>
    </xf>
    <xf numFmtId="0" fontId="0" fillId="7" borderId="0" xfId="0" applyFill="1" applyAlignment="1">
      <alignment horizontal="right" wrapText="1"/>
    </xf>
    <xf numFmtId="0" fontId="0" fillId="7" borderId="37" xfId="0" applyFill="1" applyBorder="1" applyAlignment="1">
      <alignment horizontal="right" wrapText="1"/>
    </xf>
    <xf numFmtId="0" fontId="0" fillId="7" borderId="52" xfId="0" applyFill="1" applyBorder="1" applyAlignment="1">
      <alignment horizontal="right"/>
    </xf>
    <xf numFmtId="0" fontId="0" fillId="7" borderId="53" xfId="0" applyFill="1" applyBorder="1" applyAlignment="1">
      <alignment horizontal="right"/>
    </xf>
    <xf numFmtId="0" fontId="0" fillId="7" borderId="54" xfId="0" applyFill="1" applyBorder="1" applyAlignment="1">
      <alignment horizontal="right"/>
    </xf>
    <xf numFmtId="0" fontId="0" fillId="7" borderId="36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37" xfId="0" applyFill="1" applyBorder="1" applyAlignment="1">
      <alignment horizontal="right"/>
    </xf>
    <xf numFmtId="0" fontId="0" fillId="7" borderId="45" xfId="0" applyFill="1" applyBorder="1" applyAlignment="1">
      <alignment horizontal="right" wrapText="1"/>
    </xf>
    <xf numFmtId="0" fontId="0" fillId="7" borderId="47" xfId="0" applyFill="1" applyBorder="1" applyAlignment="1">
      <alignment horizontal="right" wrapText="1"/>
    </xf>
    <xf numFmtId="0" fontId="0" fillId="7" borderId="48" xfId="0" applyFill="1" applyBorder="1" applyAlignment="1">
      <alignment horizontal="right" wrapText="1"/>
    </xf>
    <xf numFmtId="0" fontId="0" fillId="7" borderId="45" xfId="0" applyFill="1" applyBorder="1" applyAlignment="1">
      <alignment horizontal="right"/>
    </xf>
    <xf numFmtId="0" fontId="0" fillId="7" borderId="47" xfId="0" applyFill="1" applyBorder="1" applyAlignment="1">
      <alignment horizontal="right"/>
    </xf>
    <xf numFmtId="0" fontId="0" fillId="7" borderId="48" xfId="0" applyFill="1" applyBorder="1" applyAlignment="1">
      <alignment horizontal="right"/>
    </xf>
    <xf numFmtId="0" fontId="24" fillId="7" borderId="0" xfId="0" applyFont="1" applyFill="1" applyAlignment="1">
      <alignment horizontal="center" vertical="center"/>
    </xf>
    <xf numFmtId="0" fontId="24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100584</xdr:colOff>
      <xdr:row>40</xdr:row>
      <xdr:rowOff>128017</xdr:rowOff>
    </xdr:from>
    <xdr:ext cx="3936968" cy="885824"/>
    <xdr:sp macro="" textlink="">
      <xdr:nvSpPr>
        <xdr:cNvPr id="2" name="3 Rectángulo">
          <a:extLst>
            <a:ext uri="{FF2B5EF4-FFF2-40B4-BE49-F238E27FC236}">
              <a16:creationId xmlns:a16="http://schemas.microsoft.com/office/drawing/2014/main" id="{72FDEAF7-98AA-405E-8E85-D37B582F0078}"/>
            </a:ext>
          </a:extLst>
        </xdr:cNvPr>
        <xdr:cNvSpPr/>
      </xdr:nvSpPr>
      <xdr:spPr>
        <a:xfrm rot="19366567">
          <a:off x="7240524" y="8075677"/>
          <a:ext cx="3936968" cy="8858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es-ES" sz="54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CANCELADA</a:t>
          </a:r>
        </a:p>
      </xdr:txBody>
    </xdr:sp>
    <xdr:clientData/>
  </xdr:oneCellAnchor>
  <xdr:twoCellAnchor editAs="oneCell">
    <xdr:from>
      <xdr:col>0</xdr:col>
      <xdr:colOff>57151</xdr:colOff>
      <xdr:row>27</xdr:row>
      <xdr:rowOff>7994</xdr:rowOff>
    </xdr:from>
    <xdr:to>
      <xdr:col>3</xdr:col>
      <xdr:colOff>326391</xdr:colOff>
      <xdr:row>29</xdr:row>
      <xdr:rowOff>174797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AA59AF-B191-484D-B1FF-2F797F01F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53341" y="5096249"/>
          <a:ext cx="1625600" cy="589713"/>
        </a:xfrm>
        <a:prstGeom prst="rect">
          <a:avLst/>
        </a:prstGeom>
      </xdr:spPr>
    </xdr:pic>
    <xdr:clientData/>
  </xdr:twoCellAnchor>
  <xdr:twoCellAnchor editAs="oneCell">
    <xdr:from>
      <xdr:col>0</xdr:col>
      <xdr:colOff>69851</xdr:colOff>
      <xdr:row>0</xdr:row>
      <xdr:rowOff>39744</xdr:rowOff>
    </xdr:from>
    <xdr:to>
      <xdr:col>4</xdr:col>
      <xdr:colOff>1</xdr:colOff>
      <xdr:row>3</xdr:row>
      <xdr:rowOff>20492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7F5591-7EE9-478C-B39F-6B0BAA790C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44" t="17976" r="7710" b="14988"/>
        <a:stretch/>
      </xdr:blipFill>
      <xdr:spPr>
        <a:xfrm>
          <a:off x="67946" y="39744"/>
          <a:ext cx="1627505" cy="6017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DEDD-4B25-4ADA-887A-B7D2544A9A32}">
  <sheetPr>
    <tabColor rgb="FF00B050"/>
  </sheetPr>
  <dimension ref="A1:AF52"/>
  <sheetViews>
    <sheetView tabSelected="1" zoomScaleNormal="100" workbookViewId="0">
      <selection activeCell="H8" sqref="H8"/>
    </sheetView>
  </sheetViews>
  <sheetFormatPr baseColWidth="10" defaultColWidth="11.44140625" defaultRowHeight="14.4" x14ac:dyDescent="0.3"/>
  <cols>
    <col min="1" max="2" width="7.33203125" style="1" customWidth="1"/>
    <col min="3" max="4" width="5" style="1" customWidth="1"/>
    <col min="5" max="5" width="5.77734375" style="1" customWidth="1"/>
    <col min="6" max="6" width="0.88671875" style="1" customWidth="1"/>
    <col min="7" max="7" width="5.109375" style="1" customWidth="1"/>
    <col min="8" max="8" width="8.21875" style="1" customWidth="1"/>
    <col min="9" max="9" width="5.44140625" style="1" customWidth="1"/>
    <col min="10" max="10" width="0.33203125" style="1" customWidth="1"/>
    <col min="11" max="11" width="5.44140625" style="1" customWidth="1"/>
    <col min="12" max="12" width="7.77734375" style="1" customWidth="1"/>
    <col min="13" max="14" width="12.77734375" style="1" customWidth="1"/>
    <col min="15" max="15" width="2.21875" style="1" customWidth="1"/>
    <col min="16" max="16" width="12" style="1" customWidth="1"/>
    <col min="17" max="17" width="0.77734375" style="1" customWidth="1"/>
    <col min="18" max="18" width="2.21875" style="1" customWidth="1"/>
    <col min="19" max="19" width="14.21875" style="1" bestFit="1" customWidth="1"/>
    <col min="20" max="20" width="4" style="1" customWidth="1"/>
    <col min="21" max="21" width="12.21875" style="1" customWidth="1"/>
    <col min="22" max="22" width="0.5546875" style="1" customWidth="1"/>
    <col min="23" max="23" width="8.44140625" style="1" customWidth="1"/>
    <col min="24" max="24" width="4.44140625" style="1" customWidth="1"/>
    <col min="25" max="25" width="1" style="1" customWidth="1"/>
    <col min="26" max="26" width="26.77734375" style="1" customWidth="1"/>
    <col min="27" max="27" width="12" style="1" bestFit="1" customWidth="1"/>
    <col min="28" max="28" width="2.21875" style="1" customWidth="1"/>
    <col min="29" max="16384" width="11.44140625" style="1"/>
  </cols>
  <sheetData>
    <row r="1" spans="1:32" ht="16.350000000000001" customHeight="1" thickBot="1" x14ac:dyDescent="0.35">
      <c r="S1" s="2" t="s">
        <v>0</v>
      </c>
      <c r="T1" s="3"/>
      <c r="U1" s="4">
        <v>1729</v>
      </c>
      <c r="V1" s="5"/>
      <c r="W1" s="6"/>
      <c r="X1" s="6"/>
      <c r="Y1" s="6"/>
      <c r="Z1" s="6"/>
    </row>
    <row r="2" spans="1:32" ht="16.350000000000001" customHeight="1" x14ac:dyDescent="0.25">
      <c r="E2" s="7" t="s">
        <v>1</v>
      </c>
      <c r="F2" s="7"/>
      <c r="G2" s="7"/>
      <c r="H2" s="7"/>
      <c r="I2" s="7"/>
      <c r="J2" s="7"/>
      <c r="K2" s="7"/>
      <c r="L2" s="7"/>
      <c r="M2" s="7"/>
      <c r="N2" s="8" t="s">
        <v>2</v>
      </c>
      <c r="O2" s="9"/>
      <c r="P2" s="10" t="s">
        <v>0</v>
      </c>
      <c r="R2" s="11"/>
      <c r="S2" s="2" t="s">
        <v>3</v>
      </c>
      <c r="T2" s="3"/>
      <c r="U2" s="12" t="s">
        <v>4</v>
      </c>
      <c r="V2" s="13"/>
      <c r="W2" s="13"/>
      <c r="X2" s="13"/>
      <c r="Y2" s="13"/>
      <c r="Z2" s="14"/>
    </row>
    <row r="3" spans="1:32" ht="16.350000000000001" customHeight="1" thickBot="1" x14ac:dyDescent="0.3">
      <c r="E3" s="7"/>
      <c r="F3" s="7"/>
      <c r="G3" s="7"/>
      <c r="H3" s="7"/>
      <c r="I3" s="7"/>
      <c r="J3" s="7"/>
      <c r="K3" s="7"/>
      <c r="L3" s="7"/>
      <c r="M3" s="7"/>
      <c r="N3" s="15">
        <f ca="1">TODAY()</f>
        <v>46101</v>
      </c>
      <c r="O3" s="9"/>
      <c r="P3" s="16">
        <f>U1</f>
        <v>1729</v>
      </c>
      <c r="S3" s="2" t="s">
        <v>5</v>
      </c>
      <c r="T3" s="3"/>
      <c r="U3" s="17" t="s">
        <v>6</v>
      </c>
      <c r="V3" s="18"/>
      <c r="W3" s="18"/>
      <c r="X3" s="18"/>
      <c r="Y3" s="18"/>
      <c r="Z3" s="19"/>
      <c r="AB3" s="20"/>
    </row>
    <row r="4" spans="1:32" ht="7.05" customHeight="1" thickBot="1" x14ac:dyDescent="0.3">
      <c r="E4" s="7"/>
      <c r="F4" s="7"/>
      <c r="G4" s="7"/>
      <c r="H4" s="7"/>
      <c r="I4" s="7"/>
      <c r="J4" s="7"/>
      <c r="K4" s="7"/>
      <c r="L4" s="7"/>
      <c r="M4" s="7"/>
      <c r="N4" s="9"/>
      <c r="O4" s="9"/>
      <c r="S4" s="21" t="s">
        <v>7</v>
      </c>
      <c r="T4" s="22"/>
      <c r="U4" s="23">
        <v>1.5</v>
      </c>
      <c r="V4" s="24"/>
      <c r="W4" s="25"/>
      <c r="X4" s="25"/>
      <c r="Y4" s="25"/>
      <c r="Z4" s="25"/>
      <c r="AB4" s="20"/>
    </row>
    <row r="5" spans="1:32" ht="19.8" customHeight="1" thickBot="1" x14ac:dyDescent="0.3">
      <c r="A5" s="26" t="s">
        <v>8</v>
      </c>
      <c r="B5" s="27"/>
      <c r="C5" s="27"/>
      <c r="D5" s="27"/>
      <c r="E5" s="27"/>
      <c r="F5" s="27"/>
      <c r="G5" s="27"/>
      <c r="H5" s="27"/>
      <c r="I5" s="27"/>
      <c r="J5" s="28"/>
      <c r="K5" s="29" t="s">
        <v>9</v>
      </c>
      <c r="L5" s="30"/>
      <c r="M5" s="31" t="str">
        <f>U2</f>
        <v>MADERO EQUIPOS DE ORDEÑO</v>
      </c>
      <c r="N5" s="31"/>
      <c r="O5" s="31"/>
      <c r="P5" s="32"/>
      <c r="S5" s="33"/>
      <c r="T5" s="34"/>
      <c r="U5" s="35"/>
      <c r="V5" s="24"/>
      <c r="W5" s="36"/>
      <c r="X5" s="37"/>
      <c r="Y5" s="37"/>
      <c r="Z5" s="38"/>
      <c r="AB5" s="20"/>
      <c r="AC5" s="39"/>
      <c r="AD5" s="39"/>
      <c r="AE5" s="40"/>
      <c r="AF5" s="40"/>
    </row>
    <row r="6" spans="1:32" ht="17.55" customHeight="1" thickBot="1" x14ac:dyDescent="0.35">
      <c r="A6" s="41" t="s">
        <v>5</v>
      </c>
      <c r="B6" s="42"/>
      <c r="C6" s="41" t="s">
        <v>7</v>
      </c>
      <c r="D6" s="42"/>
      <c r="E6" s="43" t="s">
        <v>10</v>
      </c>
      <c r="F6" s="44"/>
      <c r="G6" s="44"/>
      <c r="H6" s="45"/>
      <c r="I6" s="41" t="s">
        <v>11</v>
      </c>
      <c r="J6" s="46"/>
      <c r="K6" s="47"/>
      <c r="L6" s="42"/>
      <c r="M6" s="48" t="s">
        <v>12</v>
      </c>
      <c r="N6" s="41" t="s">
        <v>13</v>
      </c>
      <c r="O6" s="47"/>
      <c r="P6" s="42"/>
      <c r="S6" s="49" t="s">
        <v>14</v>
      </c>
      <c r="T6" s="50"/>
      <c r="U6" s="51">
        <v>1</v>
      </c>
      <c r="V6" s="52"/>
      <c r="W6" s="53" t="s">
        <v>15</v>
      </c>
      <c r="X6" s="54"/>
      <c r="Y6" s="25"/>
      <c r="Z6" s="55" t="s">
        <v>16</v>
      </c>
      <c r="AB6" s="20"/>
      <c r="AC6"/>
      <c r="AD6"/>
      <c r="AE6"/>
      <c r="AF6"/>
    </row>
    <row r="7" spans="1:32" ht="13.35" customHeight="1" thickBot="1" x14ac:dyDescent="0.35">
      <c r="A7" s="56"/>
      <c r="B7" s="57"/>
      <c r="C7" s="56"/>
      <c r="D7" s="57"/>
      <c r="E7" s="56" t="s">
        <v>17</v>
      </c>
      <c r="F7" s="58"/>
      <c r="G7" s="59"/>
      <c r="H7" s="60" t="s">
        <v>18</v>
      </c>
      <c r="I7" s="56" t="s">
        <v>17</v>
      </c>
      <c r="J7" s="58"/>
      <c r="K7" s="59"/>
      <c r="L7" s="60" t="s">
        <v>18</v>
      </c>
      <c r="M7" s="61"/>
      <c r="N7" s="56"/>
      <c r="O7" s="59"/>
      <c r="P7" s="57"/>
      <c r="R7" s="62" t="s">
        <v>19</v>
      </c>
      <c r="S7" s="63" t="s">
        <v>13</v>
      </c>
      <c r="T7" s="64"/>
      <c r="U7" s="65" t="s">
        <v>20</v>
      </c>
      <c r="V7" s="66"/>
      <c r="W7" s="67"/>
      <c r="X7" s="68"/>
      <c r="Y7" s="25"/>
      <c r="Z7" s="69" t="e">
        <f>-(U7/U9-1)</f>
        <v>#VALUE!</v>
      </c>
      <c r="AB7" s="20"/>
      <c r="AC7"/>
      <c r="AD7"/>
      <c r="AE7"/>
      <c r="AF7"/>
    </row>
    <row r="8" spans="1:32" ht="34.049999999999997" customHeight="1" thickBot="1" x14ac:dyDescent="0.3">
      <c r="A8" s="70" t="str">
        <f>U3</f>
        <v>GABINETE TRANSFORMADOR</v>
      </c>
      <c r="B8" s="71"/>
      <c r="C8" s="72">
        <f>U4</f>
        <v>1.5</v>
      </c>
      <c r="D8" s="73" t="s">
        <v>21</v>
      </c>
      <c r="E8" s="74">
        <f>U8</f>
        <v>220</v>
      </c>
      <c r="F8" s="75"/>
      <c r="G8" s="76"/>
      <c r="H8" s="77">
        <f>U9</f>
        <v>24</v>
      </c>
      <c r="I8" s="78">
        <f>W8</f>
        <v>6.8181818181818183</v>
      </c>
      <c r="J8" s="79"/>
      <c r="K8" s="80"/>
      <c r="L8" s="81">
        <f>W9</f>
        <v>62.5</v>
      </c>
      <c r="M8" s="82" t="str">
        <f>U10</f>
        <v>RMT-1.51-24</v>
      </c>
      <c r="N8" s="83" t="str">
        <f>U7</f>
        <v>4 (CUATRO)</v>
      </c>
      <c r="O8" s="84"/>
      <c r="P8" s="85"/>
      <c r="R8" s="86"/>
      <c r="S8" s="2" t="s">
        <v>22</v>
      </c>
      <c r="T8" s="3"/>
      <c r="U8" s="87">
        <v>220</v>
      </c>
      <c r="V8" s="66"/>
      <c r="W8" s="88">
        <f>((U4*1000)/U6)/(U8/IF(U6=1,1,SQRT(3)))</f>
        <v>6.8181818181818183</v>
      </c>
      <c r="X8" s="89" t="s">
        <v>23</v>
      </c>
      <c r="Y8" s="25"/>
      <c r="Z8" s="90">
        <f>U8/U9-1</f>
        <v>8.1666666666666661</v>
      </c>
      <c r="AB8" s="20"/>
      <c r="AC8" s="91"/>
      <c r="AD8" s="92"/>
      <c r="AE8" s="92"/>
      <c r="AF8" s="92"/>
    </row>
    <row r="9" spans="1:32" ht="18" thickBot="1" x14ac:dyDescent="0.35">
      <c r="A9" s="93" t="s">
        <v>24</v>
      </c>
      <c r="B9" s="94"/>
      <c r="C9" s="94"/>
      <c r="D9" s="94"/>
      <c r="E9" s="94"/>
      <c r="F9" s="94"/>
      <c r="G9" s="94"/>
      <c r="H9" s="94"/>
      <c r="I9" s="95"/>
      <c r="J9" s="96"/>
      <c r="K9" s="94" t="s">
        <v>25</v>
      </c>
      <c r="L9" s="94"/>
      <c r="M9" s="94"/>
      <c r="N9" s="94"/>
      <c r="O9" s="94"/>
      <c r="P9" s="97"/>
      <c r="R9" s="98"/>
      <c r="S9" s="49" t="s">
        <v>26</v>
      </c>
      <c r="T9" s="50"/>
      <c r="U9" s="99">
        <v>24</v>
      </c>
      <c r="V9" s="66"/>
      <c r="W9" s="100">
        <f>((U4*1000)/U6)/(U9/IF(U6=1,1,SQRT(3)))</f>
        <v>62.5</v>
      </c>
      <c r="X9" s="101" t="s">
        <v>27</v>
      </c>
      <c r="Y9" s="25"/>
      <c r="Z9" s="102" t="s">
        <v>16</v>
      </c>
      <c r="AA9"/>
      <c r="AB9" s="20"/>
      <c r="AC9" s="103"/>
      <c r="AD9" s="104"/>
      <c r="AE9" s="92"/>
      <c r="AF9" s="92"/>
    </row>
    <row r="10" spans="1:32" ht="40.049999999999997" customHeight="1" thickBot="1" x14ac:dyDescent="0.3">
      <c r="A10" s="105" t="s">
        <v>28</v>
      </c>
      <c r="B10" s="106" t="str">
        <f>U11</f>
        <v>X</v>
      </c>
      <c r="C10" s="105" t="s">
        <v>29</v>
      </c>
      <c r="D10" s="107" t="str">
        <f>U13</f>
        <v>.</v>
      </c>
      <c r="E10" s="108" t="s">
        <v>30</v>
      </c>
      <c r="F10" s="109"/>
      <c r="G10" s="107" t="str">
        <f>U14</f>
        <v>.</v>
      </c>
      <c r="H10" s="110" t="s">
        <v>31</v>
      </c>
      <c r="I10" s="111" t="str">
        <f>U15</f>
        <v>.</v>
      </c>
      <c r="J10" s="112"/>
      <c r="K10" s="113" t="str">
        <f>U16</f>
        <v>TR150024226, TR150024227, TR150024228, TR150024229</v>
      </c>
      <c r="L10" s="114"/>
      <c r="M10" s="114"/>
      <c r="N10" s="114"/>
      <c r="O10" s="114"/>
      <c r="P10" s="115"/>
      <c r="R10" s="20"/>
      <c r="S10" s="116" t="s">
        <v>12</v>
      </c>
      <c r="T10" s="117"/>
      <c r="U10" s="118" t="s">
        <v>32</v>
      </c>
      <c r="V10" s="119"/>
      <c r="W10" s="120">
        <f>(W9*(U9/IF(U6=1,1,SQRT(3))))*Z10</f>
        <v>1350</v>
      </c>
      <c r="X10" s="121" t="s">
        <v>33</v>
      </c>
      <c r="Y10" s="25"/>
      <c r="Z10" s="122">
        <v>0.9</v>
      </c>
      <c r="AB10" s="20"/>
      <c r="AC10" s="123"/>
      <c r="AD10" s="92"/>
      <c r="AE10" s="92"/>
      <c r="AF10" s="92"/>
    </row>
    <row r="11" spans="1:32" ht="5.85" customHeight="1" thickBot="1" x14ac:dyDescent="0.35">
      <c r="A11" s="124"/>
      <c r="P11" s="124"/>
      <c r="R11" s="125"/>
      <c r="S11" s="126" t="s">
        <v>24</v>
      </c>
      <c r="T11" s="127" t="s">
        <v>34</v>
      </c>
      <c r="U11" s="128" t="s">
        <v>35</v>
      </c>
      <c r="V11" s="20"/>
      <c r="W11" s="20"/>
      <c r="X11" s="20"/>
      <c r="Y11" s="20"/>
      <c r="Z11" s="20"/>
      <c r="AA11" s="20"/>
      <c r="AB11" s="20"/>
      <c r="AC11" s="129"/>
      <c r="AD11" s="92"/>
      <c r="AE11"/>
      <c r="AF11"/>
    </row>
    <row r="12" spans="1:32" ht="14.1" customHeight="1" thickBot="1" x14ac:dyDescent="0.35">
      <c r="A12" s="130" t="s">
        <v>36</v>
      </c>
      <c r="B12" s="131"/>
      <c r="C12" s="131"/>
      <c r="D12" s="131"/>
      <c r="E12" s="131"/>
      <c r="F12" s="132"/>
      <c r="G12" s="133">
        <f ca="1">N3</f>
        <v>46101</v>
      </c>
      <c r="H12" s="134"/>
      <c r="I12" s="134"/>
      <c r="J12" s="135"/>
      <c r="K12" s="136" t="s">
        <v>37</v>
      </c>
      <c r="L12" s="136"/>
      <c r="M12" s="136"/>
      <c r="N12" s="136"/>
      <c r="O12" s="136"/>
      <c r="P12" s="137"/>
      <c r="R12" s="125"/>
      <c r="S12" s="138"/>
      <c r="T12" s="139"/>
      <c r="U12" s="140"/>
      <c r="V12" s="125"/>
      <c r="W12" s="141" t="s">
        <v>0</v>
      </c>
      <c r="X12" s="142" t="s">
        <v>38</v>
      </c>
      <c r="Y12" s="143"/>
      <c r="Z12" s="144"/>
      <c r="AB12"/>
      <c r="AC12"/>
      <c r="AD12"/>
      <c r="AE12"/>
      <c r="AF12"/>
    </row>
    <row r="13" spans="1:32" ht="14.1" customHeight="1" thickBot="1" x14ac:dyDescent="0.3">
      <c r="A13" s="145"/>
      <c r="B13" s="146"/>
      <c r="C13" s="146"/>
      <c r="D13" s="146"/>
      <c r="E13" s="146"/>
      <c r="F13" s="147"/>
      <c r="G13" s="148"/>
      <c r="H13" s="149"/>
      <c r="I13" s="149"/>
      <c r="J13" s="150"/>
      <c r="K13" s="151" t="str">
        <f>U18</f>
        <v>CON DISYUNTOR EN RIEL DIN</v>
      </c>
      <c r="L13" s="152"/>
      <c r="M13" s="152"/>
      <c r="N13" s="152"/>
      <c r="O13" s="152"/>
      <c r="P13" s="153"/>
      <c r="S13" s="138"/>
      <c r="T13" s="154" t="s">
        <v>39</v>
      </c>
      <c r="U13" s="155" t="s">
        <v>40</v>
      </c>
      <c r="W13" s="156"/>
      <c r="X13" s="157"/>
      <c r="Y13" s="157"/>
      <c r="Z13" s="158"/>
      <c r="AA13" s="39"/>
      <c r="AB13" s="39"/>
      <c r="AC13" s="39"/>
      <c r="AD13" s="39"/>
      <c r="AE13" s="40"/>
      <c r="AF13" s="40"/>
    </row>
    <row r="14" spans="1:32" ht="14.1" customHeight="1" x14ac:dyDescent="0.3">
      <c r="A14" s="159" t="s">
        <v>41</v>
      </c>
      <c r="B14" s="160"/>
      <c r="C14" s="160"/>
      <c r="D14" s="160"/>
      <c r="E14" s="160"/>
      <c r="F14" s="161"/>
      <c r="G14" s="133">
        <f>U17</f>
        <v>46038</v>
      </c>
      <c r="H14" s="134"/>
      <c r="I14" s="134"/>
      <c r="J14" s="135"/>
      <c r="K14" s="162" t="str">
        <f>U19</f>
        <v>CON DOS CONECTORES GLANDULA CADA UNO</v>
      </c>
      <c r="L14" s="163"/>
      <c r="M14" s="163"/>
      <c r="N14" s="163"/>
      <c r="O14" s="163"/>
      <c r="P14" s="164"/>
      <c r="S14" s="138"/>
      <c r="T14" s="154" t="s">
        <v>42</v>
      </c>
      <c r="U14" s="155" t="s">
        <v>40</v>
      </c>
      <c r="W14" s="156"/>
      <c r="X14" s="157"/>
      <c r="Y14" s="157"/>
      <c r="Z14" s="158"/>
    </row>
    <row r="15" spans="1:32" ht="14.1" customHeight="1" thickBot="1" x14ac:dyDescent="0.35">
      <c r="A15" s="145"/>
      <c r="B15" s="146"/>
      <c r="C15" s="146"/>
      <c r="D15" s="146"/>
      <c r="E15" s="146"/>
      <c r="F15" s="147"/>
      <c r="G15" s="148"/>
      <c r="H15" s="149"/>
      <c r="I15" s="149"/>
      <c r="J15" s="150"/>
      <c r="K15" s="162" t="str">
        <f>U20</f>
        <v>CON JAULA DE EMBARQUE</v>
      </c>
      <c r="L15" s="163"/>
      <c r="M15" s="163"/>
      <c r="N15" s="163"/>
      <c r="O15" s="163"/>
      <c r="P15" s="164"/>
      <c r="S15" s="165"/>
      <c r="T15" s="166" t="s">
        <v>43</v>
      </c>
      <c r="U15" s="167" t="s">
        <v>40</v>
      </c>
      <c r="W15" s="156"/>
      <c r="X15" s="157"/>
      <c r="Y15" s="157"/>
      <c r="Z15" s="158"/>
    </row>
    <row r="16" spans="1:32" ht="16.2" thickBot="1" x14ac:dyDescent="0.35">
      <c r="A16" s="168" t="s">
        <v>44</v>
      </c>
      <c r="B16" s="169"/>
      <c r="C16" s="169"/>
      <c r="D16" s="169"/>
      <c r="E16" s="169"/>
      <c r="F16" s="169"/>
      <c r="G16" s="169"/>
      <c r="H16" s="169"/>
      <c r="I16" s="169"/>
      <c r="J16" s="170"/>
      <c r="K16" s="162" t="str">
        <f>U22</f>
        <v xml:space="preserve"> </v>
      </c>
      <c r="L16" s="163"/>
      <c r="M16" s="163"/>
      <c r="N16" s="163"/>
      <c r="O16" s="163"/>
      <c r="P16" s="164"/>
      <c r="S16" s="171" t="s">
        <v>25</v>
      </c>
      <c r="T16" s="172"/>
      <c r="U16" s="173" t="s">
        <v>45</v>
      </c>
      <c r="V16" s="174"/>
      <c r="W16" s="174"/>
      <c r="X16" s="174"/>
      <c r="Y16" s="174"/>
      <c r="Z16" s="175"/>
    </row>
    <row r="17" spans="1:26" ht="14.55" customHeight="1" thickBot="1" x14ac:dyDescent="0.35">
      <c r="A17" s="176" t="str">
        <f>U28</f>
        <v>.</v>
      </c>
      <c r="B17" s="177"/>
      <c r="C17" s="177"/>
      <c r="D17" s="177"/>
      <c r="E17" s="177"/>
      <c r="F17" s="177"/>
      <c r="G17" s="177"/>
      <c r="H17" s="177"/>
      <c r="I17" s="177"/>
      <c r="J17" s="178"/>
      <c r="K17" s="162" t="str">
        <f>U23</f>
        <v>.</v>
      </c>
      <c r="L17" s="163"/>
      <c r="M17" s="163"/>
      <c r="N17" s="163"/>
      <c r="O17" s="163"/>
      <c r="P17" s="164"/>
      <c r="S17" s="179" t="s">
        <v>46</v>
      </c>
      <c r="T17" s="180"/>
      <c r="U17" s="181">
        <v>46038</v>
      </c>
      <c r="V17" s="182"/>
      <c r="W17" s="183"/>
      <c r="X17" s="184"/>
      <c r="Y17" s="184"/>
      <c r="Z17" s="185"/>
    </row>
    <row r="18" spans="1:26" ht="14.55" customHeight="1" x14ac:dyDescent="0.3">
      <c r="A18" s="186" t="str">
        <f>U29</f>
        <v>.</v>
      </c>
      <c r="B18" s="187"/>
      <c r="C18" s="187"/>
      <c r="D18" s="187"/>
      <c r="E18" s="187"/>
      <c r="F18" s="187"/>
      <c r="G18" s="187"/>
      <c r="H18" s="187"/>
      <c r="I18" s="187"/>
      <c r="J18" s="188"/>
      <c r="K18" s="162" t="str">
        <f>U24</f>
        <v>.</v>
      </c>
      <c r="L18" s="163"/>
      <c r="M18" s="163"/>
      <c r="N18" s="163"/>
      <c r="O18" s="163"/>
      <c r="P18" s="164"/>
      <c r="S18" s="189" t="s">
        <v>47</v>
      </c>
      <c r="T18" s="190"/>
      <c r="U18" s="191" t="s">
        <v>48</v>
      </c>
      <c r="V18" s="192"/>
      <c r="W18" s="192"/>
      <c r="X18" s="192"/>
      <c r="Y18" s="192"/>
      <c r="Z18" s="193"/>
    </row>
    <row r="19" spans="1:26" ht="14.55" customHeight="1" thickBot="1" x14ac:dyDescent="0.35">
      <c r="A19" s="194" t="str">
        <f>U30</f>
        <v>.</v>
      </c>
      <c r="B19" s="195"/>
      <c r="C19" s="195"/>
      <c r="D19" s="195"/>
      <c r="E19" s="195"/>
      <c r="F19" s="195"/>
      <c r="G19" s="195"/>
      <c r="H19" s="195"/>
      <c r="I19" s="195"/>
      <c r="J19" s="196"/>
      <c r="K19" s="197" t="str">
        <f>U26</f>
        <v>.</v>
      </c>
      <c r="L19" s="198"/>
      <c r="M19" s="198"/>
      <c r="N19" s="198"/>
      <c r="O19" s="198"/>
      <c r="P19" s="199"/>
      <c r="S19" s="200"/>
      <c r="T19" s="201"/>
      <c r="U19" s="191" t="s">
        <v>49</v>
      </c>
      <c r="V19" s="192"/>
      <c r="W19" s="192"/>
      <c r="X19" s="192"/>
      <c r="Y19" s="192"/>
      <c r="Z19" s="193"/>
    </row>
    <row r="20" spans="1:26" ht="5.85" customHeight="1" thickBot="1" x14ac:dyDescent="0.35">
      <c r="A20" s="92"/>
      <c r="B20" s="92"/>
      <c r="C20" s="92"/>
      <c r="D20" s="92"/>
      <c r="E20" s="92"/>
      <c r="F20" s="92"/>
      <c r="G20" s="92"/>
      <c r="H20" s="92"/>
      <c r="K20" s="202"/>
      <c r="L20" s="92"/>
      <c r="M20" s="92"/>
      <c r="N20" s="92"/>
      <c r="O20" s="92"/>
      <c r="P20" s="92"/>
      <c r="S20" s="200"/>
      <c r="T20" s="201"/>
      <c r="U20" s="203" t="s">
        <v>50</v>
      </c>
      <c r="V20" s="204"/>
      <c r="W20" s="204"/>
      <c r="X20" s="204"/>
      <c r="Y20" s="204"/>
      <c r="Z20" s="205"/>
    </row>
    <row r="21" spans="1:26" ht="17.55" customHeight="1" thickBot="1" x14ac:dyDescent="0.35">
      <c r="A21" s="206" t="s">
        <v>51</v>
      </c>
      <c r="B21" s="207"/>
      <c r="C21" s="207"/>
      <c r="D21" s="208"/>
      <c r="E21" s="209" t="s">
        <v>52</v>
      </c>
      <c r="F21" s="210"/>
      <c r="G21" s="210"/>
      <c r="H21" s="210"/>
      <c r="I21" s="210"/>
      <c r="J21" s="211"/>
      <c r="K21" s="209" t="s">
        <v>53</v>
      </c>
      <c r="L21" s="212"/>
      <c r="M21" s="213"/>
      <c r="N21" s="209" t="s">
        <v>54</v>
      </c>
      <c r="O21" s="210"/>
      <c r="P21" s="211"/>
      <c r="S21" s="200"/>
      <c r="T21" s="201"/>
      <c r="U21" s="214"/>
      <c r="V21" s="215"/>
      <c r="W21" s="215"/>
      <c r="X21" s="215"/>
      <c r="Y21" s="215"/>
      <c r="Z21" s="216"/>
    </row>
    <row r="22" spans="1:26" ht="13.95" customHeight="1" x14ac:dyDescent="0.3">
      <c r="A22" s="217" t="s">
        <v>55</v>
      </c>
      <c r="B22" s="218"/>
      <c r="C22" s="218"/>
      <c r="D22" s="219"/>
      <c r="E22" s="220" t="s">
        <v>56</v>
      </c>
      <c r="F22" s="221"/>
      <c r="G22" s="221"/>
      <c r="H22" s="221"/>
      <c r="I22" s="221"/>
      <c r="J22" s="222"/>
      <c r="K22" s="223" t="s">
        <v>57</v>
      </c>
      <c r="L22" s="224"/>
      <c r="M22" s="225"/>
      <c r="N22" s="223" t="s">
        <v>58</v>
      </c>
      <c r="O22" s="224"/>
      <c r="P22" s="225"/>
      <c r="S22" s="200"/>
      <c r="T22" s="201"/>
      <c r="U22" s="214" t="s">
        <v>59</v>
      </c>
      <c r="V22" s="215"/>
      <c r="W22" s="215"/>
      <c r="X22" s="215"/>
      <c r="Y22" s="215"/>
      <c r="Z22" s="216"/>
    </row>
    <row r="23" spans="1:26" ht="15.45" customHeight="1" thickBot="1" x14ac:dyDescent="0.35">
      <c r="A23" s="226"/>
      <c r="B23" s="227"/>
      <c r="C23" s="227"/>
      <c r="D23" s="228"/>
      <c r="E23" s="229"/>
      <c r="F23" s="230"/>
      <c r="G23" s="230"/>
      <c r="H23" s="230"/>
      <c r="I23" s="230"/>
      <c r="J23" s="231"/>
      <c r="K23" s="229"/>
      <c r="L23" s="230"/>
      <c r="M23" s="231"/>
      <c r="N23" s="229"/>
      <c r="O23" s="230"/>
      <c r="P23" s="231"/>
      <c r="S23" s="200"/>
      <c r="T23" s="201"/>
      <c r="U23" s="214" t="s">
        <v>40</v>
      </c>
      <c r="V23" s="215"/>
      <c r="W23" s="215"/>
      <c r="X23" s="215"/>
      <c r="Y23" s="215"/>
      <c r="Z23" s="216"/>
    </row>
    <row r="24" spans="1:26" ht="5.85" customHeight="1" x14ac:dyDescent="0.3">
      <c r="S24" s="200"/>
      <c r="T24" s="201"/>
      <c r="U24" s="203" t="s">
        <v>40</v>
      </c>
      <c r="V24" s="204"/>
      <c r="W24" s="204"/>
      <c r="X24" s="204"/>
      <c r="Y24" s="204"/>
      <c r="Z24" s="205"/>
    </row>
    <row r="25" spans="1:26" ht="15" customHeight="1" x14ac:dyDescent="0.3">
      <c r="A25" s="232" t="s">
        <v>60</v>
      </c>
      <c r="B25" s="232"/>
      <c r="I25" s="232" t="s">
        <v>61</v>
      </c>
      <c r="J25" s="232"/>
      <c r="K25" s="232"/>
      <c r="N25" s="232" t="s">
        <v>62</v>
      </c>
      <c r="O25" s="232"/>
      <c r="P25" s="232"/>
      <c r="S25" s="200"/>
      <c r="T25" s="201"/>
      <c r="U25" s="214"/>
      <c r="V25" s="215"/>
      <c r="W25" s="215"/>
      <c r="X25" s="215"/>
      <c r="Y25" s="215"/>
      <c r="Z25" s="216"/>
    </row>
    <row r="26" spans="1:26" ht="3" customHeight="1" x14ac:dyDescent="0.3">
      <c r="A26" s="233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S26" s="200"/>
      <c r="T26" s="201"/>
      <c r="U26" s="203" t="s">
        <v>40</v>
      </c>
      <c r="V26" s="204"/>
      <c r="W26" s="204"/>
      <c r="X26" s="204"/>
      <c r="Y26" s="204"/>
      <c r="Z26" s="205"/>
    </row>
    <row r="27" spans="1:26" ht="10.050000000000001" customHeight="1" thickBot="1" x14ac:dyDescent="0.35">
      <c r="A27" s="234"/>
      <c r="B27" s="234"/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S27" s="200"/>
      <c r="T27" s="201"/>
      <c r="U27" s="214"/>
      <c r="V27" s="215"/>
      <c r="W27" s="215"/>
      <c r="X27" s="215"/>
      <c r="Y27" s="215"/>
      <c r="Z27" s="216"/>
    </row>
    <row r="28" spans="1:26" ht="16.2" customHeight="1" thickBot="1" x14ac:dyDescent="0.35">
      <c r="A28" s="234"/>
      <c r="B28" s="234"/>
      <c r="C28" s="234"/>
      <c r="D28" s="234"/>
      <c r="E28" s="234"/>
      <c r="F28" s="234"/>
      <c r="G28" s="235"/>
      <c r="H28" s="235"/>
      <c r="I28" s="235"/>
      <c r="J28" s="235"/>
      <c r="K28" s="235"/>
      <c r="L28" s="235"/>
      <c r="M28" s="235"/>
      <c r="N28" s="234"/>
      <c r="O28" s="236"/>
      <c r="P28" s="234"/>
      <c r="S28" s="189" t="s">
        <v>44</v>
      </c>
      <c r="T28" s="190"/>
      <c r="U28" s="237" t="s">
        <v>40</v>
      </c>
      <c r="V28" s="238"/>
      <c r="W28" s="238"/>
      <c r="X28" s="238"/>
      <c r="Y28" s="238"/>
      <c r="Z28" s="239"/>
    </row>
    <row r="29" spans="1:26" ht="16.2" customHeight="1" x14ac:dyDescent="0.3">
      <c r="A29" s="234"/>
      <c r="B29" s="234"/>
      <c r="C29" s="234"/>
      <c r="D29" s="234"/>
      <c r="E29" s="240" t="s">
        <v>1</v>
      </c>
      <c r="F29" s="240"/>
      <c r="G29" s="240"/>
      <c r="H29" s="240"/>
      <c r="I29" s="240"/>
      <c r="J29" s="240"/>
      <c r="K29" s="240"/>
      <c r="L29" s="240"/>
      <c r="M29" s="240"/>
      <c r="N29" s="8" t="s">
        <v>2</v>
      </c>
      <c r="O29" s="236"/>
      <c r="P29" s="10" t="s">
        <v>0</v>
      </c>
      <c r="S29" s="200"/>
      <c r="T29" s="201"/>
      <c r="U29" s="241" t="s">
        <v>40</v>
      </c>
      <c r="V29" s="242"/>
      <c r="W29" s="242"/>
      <c r="X29" s="242"/>
      <c r="Y29" s="242"/>
      <c r="Z29" s="243"/>
    </row>
    <row r="30" spans="1:26" ht="15.6" customHeight="1" thickBot="1" x14ac:dyDescent="0.35">
      <c r="A30" s="234"/>
      <c r="B30" s="234"/>
      <c r="C30" s="234"/>
      <c r="D30" s="234"/>
      <c r="E30" s="240"/>
      <c r="F30" s="240"/>
      <c r="G30" s="240"/>
      <c r="H30" s="240"/>
      <c r="I30" s="240"/>
      <c r="J30" s="240"/>
      <c r="K30" s="240"/>
      <c r="L30" s="240"/>
      <c r="M30" s="240"/>
      <c r="N30" s="244">
        <f ca="1">N3</f>
        <v>46101</v>
      </c>
      <c r="O30" s="236"/>
      <c r="P30" s="245">
        <f>P3</f>
        <v>1729</v>
      </c>
      <c r="S30" s="246"/>
      <c r="T30" s="247"/>
      <c r="U30" s="248" t="s">
        <v>40</v>
      </c>
      <c r="V30" s="249"/>
      <c r="W30" s="249"/>
      <c r="X30" s="249"/>
      <c r="Y30" s="249"/>
      <c r="Z30" s="250"/>
    </row>
    <row r="31" spans="1:26" ht="7.05" customHeight="1" thickBot="1" x14ac:dyDescent="0.35">
      <c r="A31" s="234"/>
      <c r="B31" s="234"/>
      <c r="C31" s="234"/>
      <c r="D31" s="234"/>
      <c r="E31" s="251"/>
      <c r="F31" s="251"/>
      <c r="G31" s="251"/>
      <c r="H31" s="251"/>
      <c r="I31" s="251"/>
      <c r="J31" s="251"/>
      <c r="K31" s="251"/>
      <c r="L31" s="251"/>
      <c r="M31" s="251"/>
      <c r="N31" s="236"/>
      <c r="O31" s="236"/>
      <c r="P31" s="234"/>
    </row>
    <row r="32" spans="1:26" ht="19.8" customHeight="1" thickBot="1" x14ac:dyDescent="0.35">
      <c r="A32" s="252" t="s">
        <v>63</v>
      </c>
      <c r="B32" s="253"/>
      <c r="C32" s="253"/>
      <c r="D32" s="253"/>
      <c r="E32" s="253"/>
      <c r="F32" s="253"/>
      <c r="G32" s="253"/>
      <c r="H32" s="253"/>
      <c r="I32" s="254"/>
      <c r="J32" s="255"/>
      <c r="K32" s="256" t="s">
        <v>9</v>
      </c>
      <c r="L32" s="256"/>
      <c r="M32" s="257" t="str">
        <f>M5</f>
        <v>MADERO EQUIPOS DE ORDEÑO</v>
      </c>
      <c r="N32" s="257"/>
      <c r="O32" s="257"/>
      <c r="P32" s="258"/>
      <c r="R32" s="259" t="s">
        <v>64</v>
      </c>
      <c r="S32" s="260"/>
      <c r="T32" s="261"/>
      <c r="U32" s="261"/>
      <c r="V32" s="261"/>
      <c r="W32" s="261"/>
      <c r="X32" s="261"/>
      <c r="Y32" s="261"/>
      <c r="Z32" s="262"/>
    </row>
    <row r="33" spans="1:26" ht="17.55" customHeight="1" x14ac:dyDescent="0.3">
      <c r="A33" s="41" t="s">
        <v>5</v>
      </c>
      <c r="B33" s="42"/>
      <c r="C33" s="41" t="s">
        <v>7</v>
      </c>
      <c r="D33" s="42"/>
      <c r="E33" s="43" t="s">
        <v>10</v>
      </c>
      <c r="F33" s="44"/>
      <c r="G33" s="44"/>
      <c r="H33" s="45"/>
      <c r="I33" s="41" t="s">
        <v>11</v>
      </c>
      <c r="J33" s="46"/>
      <c r="K33" s="47"/>
      <c r="L33" s="42"/>
      <c r="M33" s="48" t="s">
        <v>12</v>
      </c>
      <c r="N33" s="41" t="s">
        <v>13</v>
      </c>
      <c r="O33" s="47"/>
      <c r="P33" s="42"/>
      <c r="R33" s="263"/>
      <c r="S33" s="264"/>
      <c r="T33" s="265"/>
      <c r="U33" s="265"/>
      <c r="V33" s="265"/>
      <c r="W33" s="265"/>
      <c r="X33" s="265"/>
      <c r="Y33" s="265"/>
      <c r="Z33" s="266"/>
    </row>
    <row r="34" spans="1:26" ht="13.35" customHeight="1" thickBot="1" x14ac:dyDescent="0.35">
      <c r="A34" s="56"/>
      <c r="B34" s="57"/>
      <c r="C34" s="56"/>
      <c r="D34" s="57"/>
      <c r="E34" s="56" t="s">
        <v>17</v>
      </c>
      <c r="F34" s="58"/>
      <c r="G34" s="59"/>
      <c r="H34" s="60" t="s">
        <v>18</v>
      </c>
      <c r="I34" s="56" t="s">
        <v>17</v>
      </c>
      <c r="J34" s="58"/>
      <c r="K34" s="59"/>
      <c r="L34" s="60" t="s">
        <v>18</v>
      </c>
      <c r="M34" s="61"/>
      <c r="N34" s="56"/>
      <c r="O34" s="59"/>
      <c r="P34" s="57"/>
      <c r="R34" s="263"/>
      <c r="S34" s="264"/>
      <c r="T34" s="265"/>
      <c r="U34" s="265"/>
      <c r="V34" s="265"/>
      <c r="W34" s="265"/>
      <c r="X34" s="265"/>
      <c r="Y34" s="265"/>
      <c r="Z34" s="266"/>
    </row>
    <row r="35" spans="1:26" ht="30.6" customHeight="1" thickBot="1" x14ac:dyDescent="0.35">
      <c r="A35" s="267" t="str">
        <f>A8</f>
        <v>GABINETE TRANSFORMADOR</v>
      </c>
      <c r="B35" s="268"/>
      <c r="C35" s="269">
        <f>C8</f>
        <v>1.5</v>
      </c>
      <c r="D35" s="270" t="s">
        <v>21</v>
      </c>
      <c r="E35" s="271">
        <f>E8</f>
        <v>220</v>
      </c>
      <c r="F35" s="272"/>
      <c r="G35" s="273"/>
      <c r="H35" s="274">
        <f t="shared" ref="H35:L35" si="0">H8</f>
        <v>24</v>
      </c>
      <c r="I35" s="275">
        <f>I8</f>
        <v>6.8181818181818183</v>
      </c>
      <c r="J35" s="276"/>
      <c r="K35" s="277"/>
      <c r="L35" s="278">
        <f t="shared" si="0"/>
        <v>62.5</v>
      </c>
      <c r="M35" s="279" t="str">
        <f>M8</f>
        <v>RMT-1.51-24</v>
      </c>
      <c r="N35" s="280" t="str">
        <f>N8</f>
        <v>4 (CUATRO)</v>
      </c>
      <c r="O35" s="281"/>
      <c r="P35" s="282"/>
      <c r="R35" s="263"/>
      <c r="S35" s="264"/>
      <c r="T35" s="265"/>
      <c r="U35" s="265"/>
      <c r="V35" s="265"/>
      <c r="W35" s="265"/>
      <c r="X35" s="265"/>
      <c r="Y35" s="265"/>
      <c r="Z35" s="266"/>
    </row>
    <row r="36" spans="1:26" ht="17.850000000000001" customHeight="1" thickBot="1" x14ac:dyDescent="0.35">
      <c r="A36" s="168" t="s">
        <v>24</v>
      </c>
      <c r="B36" s="169"/>
      <c r="C36" s="169"/>
      <c r="D36" s="169"/>
      <c r="E36" s="169"/>
      <c r="F36" s="169"/>
      <c r="G36" s="169"/>
      <c r="H36" s="169"/>
      <c r="I36" s="169"/>
      <c r="J36" s="283"/>
      <c r="K36" s="94" t="s">
        <v>25</v>
      </c>
      <c r="L36" s="94"/>
      <c r="M36" s="94"/>
      <c r="N36" s="94"/>
      <c r="O36" s="94"/>
      <c r="P36" s="97"/>
      <c r="R36" s="284"/>
      <c r="S36" s="285"/>
      <c r="T36" s="286"/>
      <c r="U36" s="286"/>
      <c r="V36" s="286"/>
      <c r="W36" s="286"/>
      <c r="X36" s="286"/>
      <c r="Y36" s="286"/>
      <c r="Z36" s="287"/>
    </row>
    <row r="37" spans="1:26" ht="36.6" customHeight="1" thickBot="1" x14ac:dyDescent="0.35">
      <c r="A37" s="288" t="s">
        <v>28</v>
      </c>
      <c r="B37" s="289" t="str">
        <f>B10</f>
        <v>X</v>
      </c>
      <c r="C37" s="288" t="s">
        <v>29</v>
      </c>
      <c r="D37" s="289" t="str">
        <f>D10</f>
        <v>.</v>
      </c>
      <c r="E37" s="290" t="s">
        <v>30</v>
      </c>
      <c r="F37" s="291"/>
      <c r="G37" s="289" t="str">
        <f>G10</f>
        <v>.</v>
      </c>
      <c r="H37" s="288" t="s">
        <v>31</v>
      </c>
      <c r="I37" s="292" t="str">
        <f>I10</f>
        <v>.</v>
      </c>
      <c r="J37" s="293"/>
      <c r="K37" s="294" t="str">
        <f>K10</f>
        <v>TR150024226, TR150024227, TR150024228, TR150024229</v>
      </c>
      <c r="L37" s="295"/>
      <c r="M37" s="295"/>
      <c r="N37" s="295"/>
      <c r="O37" s="295"/>
      <c r="P37" s="296"/>
    </row>
    <row r="38" spans="1:26" ht="6.45" customHeight="1" thickBot="1" x14ac:dyDescent="0.35">
      <c r="A38" s="297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97"/>
    </row>
    <row r="39" spans="1:26" ht="14.55" customHeight="1" thickBot="1" x14ac:dyDescent="0.35">
      <c r="A39" s="130" t="s">
        <v>36</v>
      </c>
      <c r="B39" s="131"/>
      <c r="C39" s="131"/>
      <c r="D39" s="131"/>
      <c r="E39" s="131"/>
      <c r="F39" s="132"/>
      <c r="G39" s="298">
        <f ca="1">G12</f>
        <v>46101</v>
      </c>
      <c r="H39" s="299"/>
      <c r="I39" s="299"/>
      <c r="J39" s="300"/>
      <c r="K39" s="301" t="s">
        <v>37</v>
      </c>
      <c r="L39" s="301"/>
      <c r="M39" s="301"/>
      <c r="N39" s="301"/>
      <c r="O39" s="301"/>
      <c r="P39" s="302"/>
    </row>
    <row r="40" spans="1:26" ht="14.55" customHeight="1" thickBot="1" x14ac:dyDescent="0.35">
      <c r="A40" s="145"/>
      <c r="B40" s="146"/>
      <c r="C40" s="146"/>
      <c r="D40" s="146"/>
      <c r="E40" s="146"/>
      <c r="F40" s="147"/>
      <c r="G40" s="303"/>
      <c r="H40" s="304"/>
      <c r="I40" s="304"/>
      <c r="J40" s="305"/>
      <c r="K40" s="306" t="str">
        <f>K13</f>
        <v>CON DISYUNTOR EN RIEL DIN</v>
      </c>
      <c r="L40" s="306"/>
      <c r="M40" s="306"/>
      <c r="N40" s="306"/>
      <c r="O40" s="306"/>
      <c r="P40" s="307"/>
    </row>
    <row r="41" spans="1:26" ht="14.55" customHeight="1" x14ac:dyDescent="0.3">
      <c r="A41" s="130" t="s">
        <v>41</v>
      </c>
      <c r="B41" s="131"/>
      <c r="C41" s="131"/>
      <c r="D41" s="131"/>
      <c r="E41" s="131"/>
      <c r="F41" s="132"/>
      <c r="G41" s="308">
        <f>G14</f>
        <v>46038</v>
      </c>
      <c r="H41" s="309"/>
      <c r="I41" s="309"/>
      <c r="J41" s="310"/>
      <c r="K41" s="306" t="str">
        <f>K14</f>
        <v>CON DOS CONECTORES GLANDULA CADA UNO</v>
      </c>
      <c r="L41" s="306"/>
      <c r="M41" s="306"/>
      <c r="N41" s="306"/>
      <c r="O41" s="306"/>
      <c r="P41" s="307"/>
    </row>
    <row r="42" spans="1:26" ht="14.55" customHeight="1" thickBot="1" x14ac:dyDescent="0.35">
      <c r="A42" s="145"/>
      <c r="B42" s="146"/>
      <c r="C42" s="146"/>
      <c r="D42" s="146"/>
      <c r="E42" s="146"/>
      <c r="F42" s="147"/>
      <c r="G42" s="303"/>
      <c r="H42" s="304"/>
      <c r="I42" s="304"/>
      <c r="J42" s="305"/>
      <c r="K42" s="306" t="str">
        <f t="shared" ref="K42:K46" si="1">K15</f>
        <v>CON JAULA DE EMBARQUE</v>
      </c>
      <c r="L42" s="306"/>
      <c r="M42" s="306"/>
      <c r="N42" s="306"/>
      <c r="O42" s="306"/>
      <c r="P42" s="307"/>
    </row>
    <row r="43" spans="1:26" ht="14.55" customHeight="1" thickBot="1" x14ac:dyDescent="0.35">
      <c r="A43" s="168" t="s">
        <v>44</v>
      </c>
      <c r="B43" s="169"/>
      <c r="C43" s="169"/>
      <c r="D43" s="169"/>
      <c r="E43" s="169"/>
      <c r="F43" s="169"/>
      <c r="G43" s="169"/>
      <c r="H43" s="169"/>
      <c r="I43" s="169"/>
      <c r="J43" s="170"/>
      <c r="K43" s="311" t="str">
        <f t="shared" si="1"/>
        <v xml:space="preserve"> </v>
      </c>
      <c r="L43" s="306"/>
      <c r="M43" s="306"/>
      <c r="N43" s="306"/>
      <c r="O43" s="306"/>
      <c r="P43" s="307"/>
    </row>
    <row r="44" spans="1:26" ht="14.55" customHeight="1" x14ac:dyDescent="0.3">
      <c r="A44" s="312" t="str">
        <f>A17</f>
        <v>.</v>
      </c>
      <c r="B44" s="313"/>
      <c r="C44" s="313"/>
      <c r="D44" s="313"/>
      <c r="E44" s="313"/>
      <c r="F44" s="313"/>
      <c r="G44" s="313"/>
      <c r="H44" s="313"/>
      <c r="I44" s="313"/>
      <c r="J44" s="314"/>
      <c r="K44" s="311" t="str">
        <f t="shared" si="1"/>
        <v>.</v>
      </c>
      <c r="L44" s="306"/>
      <c r="M44" s="306"/>
      <c r="N44" s="306"/>
      <c r="O44" s="306"/>
      <c r="P44" s="307"/>
    </row>
    <row r="45" spans="1:26" ht="14.55" customHeight="1" x14ac:dyDescent="0.3">
      <c r="A45" s="312" t="str">
        <f>A18</f>
        <v>.</v>
      </c>
      <c r="B45" s="313"/>
      <c r="C45" s="313"/>
      <c r="D45" s="313"/>
      <c r="E45" s="313"/>
      <c r="F45" s="313"/>
      <c r="G45" s="313"/>
      <c r="H45" s="313"/>
      <c r="I45" s="313"/>
      <c r="J45" s="314"/>
      <c r="K45" s="311" t="str">
        <f t="shared" si="1"/>
        <v>.</v>
      </c>
      <c r="L45" s="306"/>
      <c r="M45" s="306"/>
      <c r="N45" s="306"/>
      <c r="O45" s="306"/>
      <c r="P45" s="307"/>
    </row>
    <row r="46" spans="1:26" ht="14.55" customHeight="1" thickBot="1" x14ac:dyDescent="0.35">
      <c r="A46" s="315" t="str">
        <f>A19</f>
        <v>.</v>
      </c>
      <c r="B46" s="316"/>
      <c r="C46" s="316"/>
      <c r="D46" s="316"/>
      <c r="E46" s="316"/>
      <c r="F46" s="316"/>
      <c r="G46" s="316"/>
      <c r="H46" s="316"/>
      <c r="I46" s="316"/>
      <c r="J46" s="317"/>
      <c r="K46" s="318" t="str">
        <f t="shared" si="1"/>
        <v>.</v>
      </c>
      <c r="L46" s="319"/>
      <c r="M46" s="319"/>
      <c r="N46" s="319"/>
      <c r="O46" s="319"/>
      <c r="P46" s="320"/>
    </row>
    <row r="47" spans="1:26" ht="5.85" customHeight="1" thickBot="1" x14ac:dyDescent="0.35">
      <c r="A47" s="321"/>
      <c r="B47" s="321"/>
      <c r="C47" s="321"/>
      <c r="D47" s="321"/>
      <c r="E47" s="321"/>
      <c r="F47" s="321"/>
      <c r="G47" s="321"/>
      <c r="H47" s="321"/>
      <c r="I47" s="234"/>
      <c r="J47" s="234"/>
      <c r="K47" s="321"/>
      <c r="L47" s="321"/>
      <c r="M47" s="321"/>
      <c r="N47" s="321"/>
      <c r="O47" s="321"/>
      <c r="P47" s="321"/>
    </row>
    <row r="48" spans="1:26" ht="17.55" customHeight="1" thickBot="1" x14ac:dyDescent="0.35">
      <c r="A48" s="322" t="s">
        <v>51</v>
      </c>
      <c r="B48" s="323"/>
      <c r="C48" s="323"/>
      <c r="D48" s="324"/>
      <c r="E48" s="168" t="s">
        <v>52</v>
      </c>
      <c r="F48" s="169"/>
      <c r="G48" s="169"/>
      <c r="H48" s="169"/>
      <c r="I48" s="169"/>
      <c r="J48" s="170"/>
      <c r="K48" s="168" t="s">
        <v>53</v>
      </c>
      <c r="L48" s="169"/>
      <c r="M48" s="170"/>
      <c r="N48" s="168" t="s">
        <v>54</v>
      </c>
      <c r="O48" s="169"/>
      <c r="P48" s="170"/>
    </row>
    <row r="49" spans="1:16" ht="7.5" customHeight="1" x14ac:dyDescent="0.3">
      <c r="A49" s="325" t="str">
        <f>A22</f>
        <v>HUGO CORTES</v>
      </c>
      <c r="B49" s="326"/>
      <c r="C49" s="326"/>
      <c r="D49" s="327"/>
      <c r="E49" s="328" t="str">
        <f>E22</f>
        <v>CARMEN BASTIDA</v>
      </c>
      <c r="F49" s="329"/>
      <c r="G49" s="329"/>
      <c r="H49" s="329"/>
      <c r="I49" s="329"/>
      <c r="J49" s="330"/>
      <c r="K49" s="331" t="str">
        <f>K22</f>
        <v>NADIA LOPEZ</v>
      </c>
      <c r="L49" s="332"/>
      <c r="M49" s="333"/>
      <c r="N49" s="331" t="str">
        <f>N22</f>
        <v>JOAQUIN HERNANDEZ</v>
      </c>
      <c r="O49" s="332"/>
      <c r="P49" s="333"/>
    </row>
    <row r="50" spans="1:16" ht="22.05" customHeight="1" thickBot="1" x14ac:dyDescent="0.35">
      <c r="A50" s="334"/>
      <c r="B50" s="335"/>
      <c r="C50" s="335"/>
      <c r="D50" s="336"/>
      <c r="E50" s="337"/>
      <c r="F50" s="338"/>
      <c r="G50" s="338"/>
      <c r="H50" s="338"/>
      <c r="I50" s="338"/>
      <c r="J50" s="339"/>
      <c r="K50" s="337"/>
      <c r="L50" s="338"/>
      <c r="M50" s="339"/>
      <c r="N50" s="337"/>
      <c r="O50" s="338"/>
      <c r="P50" s="339"/>
    </row>
    <row r="51" spans="1:16" ht="5.85" customHeight="1" x14ac:dyDescent="0.3">
      <c r="A51" s="234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</row>
    <row r="52" spans="1:16" ht="12" customHeight="1" x14ac:dyDescent="0.3">
      <c r="A52" s="340" t="str">
        <f>A25</f>
        <v>RM-FR-10</v>
      </c>
      <c r="B52" s="340"/>
      <c r="C52" s="234"/>
      <c r="D52" s="234"/>
      <c r="E52" s="234"/>
      <c r="F52" s="234"/>
      <c r="G52" s="234"/>
      <c r="H52" s="234"/>
      <c r="I52" s="340" t="str">
        <f>I25</f>
        <v>Rev.7</v>
      </c>
      <c r="J52" s="340"/>
      <c r="K52" s="340"/>
      <c r="L52" s="341"/>
      <c r="M52" s="341"/>
      <c r="N52" s="340" t="str">
        <f>N25</f>
        <v>Fecha de Revisión: 01-10-2021</v>
      </c>
      <c r="O52" s="340"/>
      <c r="P52" s="340"/>
    </row>
  </sheetData>
  <mergeCells count="139">
    <mergeCell ref="A49:D50"/>
    <mergeCell ref="E49:J50"/>
    <mergeCell ref="K49:M50"/>
    <mergeCell ref="N49:P50"/>
    <mergeCell ref="A52:B52"/>
    <mergeCell ref="I52:K52"/>
    <mergeCell ref="N52:P52"/>
    <mergeCell ref="A46:J46"/>
    <mergeCell ref="K46:P46"/>
    <mergeCell ref="A48:D48"/>
    <mergeCell ref="E48:J48"/>
    <mergeCell ref="K48:M48"/>
    <mergeCell ref="N48:P48"/>
    <mergeCell ref="A43:J43"/>
    <mergeCell ref="K43:P43"/>
    <mergeCell ref="A44:J44"/>
    <mergeCell ref="K44:P44"/>
    <mergeCell ref="A45:J45"/>
    <mergeCell ref="K45:P45"/>
    <mergeCell ref="A39:F40"/>
    <mergeCell ref="G39:J40"/>
    <mergeCell ref="K39:P39"/>
    <mergeCell ref="K40:P40"/>
    <mergeCell ref="A41:F42"/>
    <mergeCell ref="G41:J42"/>
    <mergeCell ref="K41:P41"/>
    <mergeCell ref="K42:P42"/>
    <mergeCell ref="A36:J36"/>
    <mergeCell ref="K36:P36"/>
    <mergeCell ref="S36:Z36"/>
    <mergeCell ref="E37:F37"/>
    <mergeCell ref="I37:J37"/>
    <mergeCell ref="K37:P37"/>
    <mergeCell ref="N33:P34"/>
    <mergeCell ref="S33:Z33"/>
    <mergeCell ref="E34:G34"/>
    <mergeCell ref="I34:K34"/>
    <mergeCell ref="S34:Z34"/>
    <mergeCell ref="A35:B35"/>
    <mergeCell ref="E35:G35"/>
    <mergeCell ref="I35:K35"/>
    <mergeCell ref="N35:P35"/>
    <mergeCell ref="S35:Z35"/>
    <mergeCell ref="A32:I32"/>
    <mergeCell ref="K32:L32"/>
    <mergeCell ref="M32:P32"/>
    <mergeCell ref="R32:R36"/>
    <mergeCell ref="S32:Z32"/>
    <mergeCell ref="A33:B34"/>
    <mergeCell ref="C33:D34"/>
    <mergeCell ref="E33:H33"/>
    <mergeCell ref="I33:L33"/>
    <mergeCell ref="M33:M34"/>
    <mergeCell ref="U24:Z25"/>
    <mergeCell ref="A25:B25"/>
    <mergeCell ref="I25:K25"/>
    <mergeCell ref="N25:P25"/>
    <mergeCell ref="U26:Z27"/>
    <mergeCell ref="S28:T30"/>
    <mergeCell ref="U28:Z28"/>
    <mergeCell ref="E29:M31"/>
    <mergeCell ref="U29:Z29"/>
    <mergeCell ref="U30:Z30"/>
    <mergeCell ref="A22:D23"/>
    <mergeCell ref="E22:J23"/>
    <mergeCell ref="K22:M23"/>
    <mergeCell ref="N22:P23"/>
    <mergeCell ref="U22:Z22"/>
    <mergeCell ref="U23:Z23"/>
    <mergeCell ref="U19:Z19"/>
    <mergeCell ref="U20:Z21"/>
    <mergeCell ref="A21:D21"/>
    <mergeCell ref="E21:J21"/>
    <mergeCell ref="K21:M21"/>
    <mergeCell ref="N21:P21"/>
    <mergeCell ref="A17:J17"/>
    <mergeCell ref="K17:P17"/>
    <mergeCell ref="S17:T17"/>
    <mergeCell ref="X17:Z17"/>
    <mergeCell ref="A18:J18"/>
    <mergeCell ref="K18:P18"/>
    <mergeCell ref="S18:T27"/>
    <mergeCell ref="U18:Z18"/>
    <mergeCell ref="A19:J19"/>
    <mergeCell ref="K19:P19"/>
    <mergeCell ref="X14:Z14"/>
    <mergeCell ref="K15:P15"/>
    <mergeCell ref="X15:Z15"/>
    <mergeCell ref="A16:J16"/>
    <mergeCell ref="K16:P16"/>
    <mergeCell ref="S16:T16"/>
    <mergeCell ref="U16:Z16"/>
    <mergeCell ref="U11:U12"/>
    <mergeCell ref="A12:F13"/>
    <mergeCell ref="G12:J13"/>
    <mergeCell ref="K12:P12"/>
    <mergeCell ref="X12:Z12"/>
    <mergeCell ref="K13:P13"/>
    <mergeCell ref="X13:Z13"/>
    <mergeCell ref="S9:T9"/>
    <mergeCell ref="E10:F10"/>
    <mergeCell ref="I10:J10"/>
    <mergeCell ref="K10:P10"/>
    <mergeCell ref="S10:T10"/>
    <mergeCell ref="S11:S15"/>
    <mergeCell ref="T11:T12"/>
    <mergeCell ref="A14:F15"/>
    <mergeCell ref="G14:J15"/>
    <mergeCell ref="K14:P14"/>
    <mergeCell ref="I7:K7"/>
    <mergeCell ref="R7:R9"/>
    <mergeCell ref="S7:T7"/>
    <mergeCell ref="A8:B8"/>
    <mergeCell ref="E8:G8"/>
    <mergeCell ref="I8:K8"/>
    <mergeCell ref="N8:P8"/>
    <mergeCell ref="S8:T8"/>
    <mergeCell ref="A9:I9"/>
    <mergeCell ref="K9:P9"/>
    <mergeCell ref="W5:Z5"/>
    <mergeCell ref="A6:B7"/>
    <mergeCell ref="C6:D7"/>
    <mergeCell ref="E6:H6"/>
    <mergeCell ref="I6:L6"/>
    <mergeCell ref="M6:M7"/>
    <mergeCell ref="N6:P7"/>
    <mergeCell ref="S6:T6"/>
    <mergeCell ref="W6:X6"/>
    <mergeCell ref="E7:G7"/>
    <mergeCell ref="S1:T1"/>
    <mergeCell ref="E2:M4"/>
    <mergeCell ref="S2:T2"/>
    <mergeCell ref="U2:Z2"/>
    <mergeCell ref="S3:T3"/>
    <mergeCell ref="S4:T5"/>
    <mergeCell ref="U4:U5"/>
    <mergeCell ref="A5:J5"/>
    <mergeCell ref="K5:L5"/>
    <mergeCell ref="M5:P5"/>
  </mergeCells>
  <printOptions horizontalCentered="1"/>
  <pageMargins left="0.31496062992125984" right="0.31496062992125984" top="0" bottom="0" header="0.31496062992125984" footer="0.31496062992125984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ORDEN DE PRODUCCION TRANSF</vt:lpstr>
      <vt:lpstr>'ORDEN DE PRODUCCION TRANSF'!Área_de_impresión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Castro</dc:creator>
  <cp:lastModifiedBy>Emiliano Castro</cp:lastModifiedBy>
  <dcterms:created xsi:type="dcterms:W3CDTF">2026-03-21T05:35:27Z</dcterms:created>
  <dcterms:modified xsi:type="dcterms:W3CDTF">2026-03-21T05:36:01Z</dcterms:modified>
</cp:coreProperties>
</file>