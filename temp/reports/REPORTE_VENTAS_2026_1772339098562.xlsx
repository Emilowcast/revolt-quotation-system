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isiones1" sheetId="3" state="visible" r:id="rId3"/>
    <sheet name="Comercializ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b val="1"/>
      <sz val="11"/>
    </font>
    <font>
      <i val="1"/>
      <sz val="9"/>
    </font>
  </fonts>
  <fills count="12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32CD32"/>
        <bgColor rgb="0032CD3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applyAlignment="1" pivotButton="0" quotePrefix="0" xfId="0">
      <alignment horizontal="right" vertical="center"/>
    </xf>
    <xf numFmtId="164" fontId="5" fillId="4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6" borderId="1" pivotButton="0" quotePrefix="0" xfId="0"/>
    <xf numFmtId="164" fontId="4" fillId="6" borderId="1" pivotButton="0" quotePrefix="0" xfId="0"/>
    <xf numFmtId="10" fontId="4" fillId="6" borderId="1" pivotButton="0" quotePrefix="0" xfId="0"/>
    <xf numFmtId="0" fontId="2" fillId="5" borderId="0" applyAlignment="1" pivotButton="0" quotePrefix="0" xfId="0">
      <alignment horizontal="right" vertical="center"/>
    </xf>
    <xf numFmtId="164" fontId="2" fillId="5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0" fillId="10" borderId="0" pivotButton="0" quotePrefix="0" xfId="0"/>
    <xf numFmtId="0" fontId="5" fillId="10" borderId="0" applyAlignment="1" pivotButton="0" quotePrefix="0" xfId="0">
      <alignment horizontal="right" vertical="center"/>
    </xf>
    <xf numFmtId="164" fontId="5" fillId="10" borderId="0" pivotButton="0" quotePrefix="0" xfId="0"/>
    <xf numFmtId="0" fontId="2" fillId="11" borderId="0" applyAlignment="1" pivotButton="0" quotePrefix="0" xfId="0">
      <alignment horizontal="right" vertical="center"/>
    </xf>
    <xf numFmtId="164" fontId="2" fillId="11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30" customWidth="1" min="1" max="1"/>
    <col width="41" customWidth="1" min="2" max="2"/>
    <col width="60" customWidth="1" min="3" max="3"/>
    <col width="16" customWidth="1" min="4" max="4"/>
    <col width="21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ENERO</t>
        </is>
      </c>
    </row>
    <row r="8" ht="15" customHeight="1">
      <c r="A8" t="inlineStr">
        <is>
          <t>01/01/2026</t>
        </is>
      </c>
      <c r="B8" s="5" t="inlineStr">
        <is>
          <t>Sofía Morales - Toyota</t>
        </is>
      </c>
      <c r="C8" s="5" t="inlineStr">
        <is>
          <t>RM-041-120 - 4 KVA - Monofásico - 120 V</t>
        </is>
      </c>
      <c r="D8" s="6" t="n">
        <v>29580</v>
      </c>
      <c r="E8" s="6">
        <f>D8/1.16</f>
        <v/>
      </c>
      <c r="F8" s="7">
        <f>SUM(E8:E8)</f>
        <v/>
      </c>
      <c r="G8" s="8" t="inlineStr">
        <is>
          <t>Semana 1 (02-ene)</t>
        </is>
      </c>
      <c r="H8" t="inlineStr">
        <is>
          <t>Hugo</t>
        </is>
      </c>
      <c r="J8" s="9" t="inlineStr">
        <is>
          <t>ENERO</t>
        </is>
      </c>
    </row>
    <row r="9">
      <c r="A9" s="10" t="n"/>
      <c r="B9" s="10" t="n"/>
      <c r="C9" s="10" t="n"/>
      <c r="D9" s="11" t="inlineStr">
        <is>
          <t>TOTAL SIN IVA</t>
        </is>
      </c>
      <c r="E9" s="12" t="n">
        <v>24847.2</v>
      </c>
      <c r="F9" s="10" t="n"/>
      <c r="G9" s="10" t="n"/>
      <c r="H9" s="10" t="n"/>
      <c r="J9" s="13" t="inlineStr">
        <is>
          <t>VENDEDOR</t>
        </is>
      </c>
      <c r="K9" s="13" t="inlineStr">
        <is>
          <t>VENTAS</t>
        </is>
      </c>
      <c r="L9" s="13" t="inlineStr">
        <is>
          <t>%</t>
        </is>
      </c>
    </row>
    <row r="10" ht="15" customHeight="1">
      <c r="A10" t="inlineStr">
        <is>
          <t>03/01/2026</t>
        </is>
      </c>
      <c r="B10" s="5" t="inlineStr">
        <is>
          <t>Miguel Ángel Ruiz - KIA Motors</t>
        </is>
      </c>
      <c r="C10" s="5" t="inlineStr">
        <is>
          <t>RM-101-120 - 10 KVA - Monofásico - 120 V</t>
        </is>
      </c>
      <c r="D10" s="6" t="n">
        <v>52200</v>
      </c>
      <c r="E10" s="6">
        <f>D10/1.16</f>
        <v/>
      </c>
      <c r="F10" s="7">
        <f>SUM(E10:E14)</f>
        <v/>
      </c>
      <c r="G10" s="8" t="inlineStr">
        <is>
          <t>Semana 2 (09-ene)</t>
        </is>
      </c>
      <c r="H10" t="inlineStr">
        <is>
          <t>Hugo</t>
        </is>
      </c>
      <c r="J10" s="14" t="inlineStr">
        <is>
          <t>Hugo</t>
        </is>
      </c>
      <c r="K10" s="15" t="n">
        <v>3111871.240800001</v>
      </c>
      <c r="L10" s="16">
        <f>K10/E$48</f>
        <v/>
      </c>
    </row>
    <row r="11" ht="15" customHeight="1">
      <c r="A11" t="inlineStr">
        <is>
          <t>03/01/2026</t>
        </is>
      </c>
      <c r="B11" s="5" t="inlineStr">
        <is>
          <t>María López - General Motors</t>
        </is>
      </c>
      <c r="C11" s="5" t="inlineStr">
        <is>
          <t>RM-153-220 - 15 KVA - Trifásico - 220 V</t>
        </is>
      </c>
      <c r="D11" s="6" t="n">
        <v>87696</v>
      </c>
      <c r="E11" s="6">
        <f>D11/1.16</f>
        <v/>
      </c>
      <c r="H11" t="inlineStr">
        <is>
          <t>Hugo</t>
        </is>
      </c>
      <c r="J11" s="17" t="inlineStr">
        <is>
          <t>Total</t>
        </is>
      </c>
      <c r="K11" s="18">
        <f>E48</f>
        <v/>
      </c>
      <c r="L11" s="19" t="n">
        <v>1</v>
      </c>
    </row>
    <row r="12" ht="15" customHeight="1">
      <c r="A12" t="inlineStr">
        <is>
          <t>03/01/2026</t>
        </is>
      </c>
      <c r="B12" s="5" t="inlineStr">
        <is>
          <t>Miguel Ángel Ruiz - KIA Motors</t>
        </is>
      </c>
      <c r="C12" s="5" t="inlineStr">
        <is>
          <t>RM-403-220 - 40 KVA - Trifásico - 220 V</t>
        </is>
      </c>
      <c r="D12" s="6" t="n">
        <v>143840</v>
      </c>
      <c r="E12" s="6">
        <f>D12/1.16</f>
        <v/>
      </c>
      <c r="H12" t="inlineStr">
        <is>
          <t>Hugo</t>
        </is>
      </c>
    </row>
    <row r="13" ht="15" customHeight="1">
      <c r="A13" t="inlineStr">
        <is>
          <t>03/01/2026</t>
        </is>
      </c>
      <c r="B13" s="5" t="inlineStr">
        <is>
          <t>Carlos Ramírez - Volkswagen México</t>
        </is>
      </c>
      <c r="C13" s="5" t="inlineStr">
        <is>
          <t>RM-101-120 - 10 KVA - Monofásico - 120 V</t>
        </is>
      </c>
      <c r="D13" s="6" t="n">
        <v>17400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07/01/2026</t>
        </is>
      </c>
      <c r="B14" s="5" t="inlineStr">
        <is>
          <t>María López - General Motors</t>
        </is>
      </c>
      <c r="C14" s="5" t="inlineStr">
        <is>
          <t>RM-203-220 - 20 KVA - Trifásico - 220 V</t>
        </is>
      </c>
      <c r="D14" s="6" t="n">
        <v>73080</v>
      </c>
      <c r="E14" s="6">
        <f>D14/1.16</f>
        <v/>
      </c>
      <c r="H14" t="inlineStr">
        <is>
          <t>Hugo</t>
        </is>
      </c>
    </row>
    <row r="15">
      <c r="A15" s="10" t="n"/>
      <c r="B15" s="10" t="n"/>
      <c r="C15" s="10" t="n"/>
      <c r="D15" s="11" t="inlineStr">
        <is>
          <t>TOTAL SIN IVA</t>
        </is>
      </c>
      <c r="E15" s="12" t="n">
        <v>314341.44</v>
      </c>
      <c r="F15" s="10" t="n"/>
      <c r="G15" s="10" t="n"/>
      <c r="H15" s="10" t="n"/>
    </row>
    <row r="16" ht="15" customHeight="1">
      <c r="A16" t="inlineStr">
        <is>
          <t>10/01/2026</t>
        </is>
      </c>
      <c r="B16" s="5" t="inlineStr">
        <is>
          <t>Miguel Ángel Ruiz - KIA Motors</t>
        </is>
      </c>
      <c r="C16" s="5" t="inlineStr">
        <is>
          <t>RM-153-220 - 15 KVA - Trifásico - 220 V</t>
        </is>
      </c>
      <c r="D16" s="6" t="n">
        <v>32480</v>
      </c>
      <c r="E16" s="6">
        <f>D16/1.16</f>
        <v/>
      </c>
      <c r="F16" s="7">
        <f>SUM(E16:E19)</f>
        <v/>
      </c>
      <c r="G16" s="8" t="inlineStr">
        <is>
          <t>Semana 3 (16-ene)</t>
        </is>
      </c>
      <c r="H16" t="inlineStr">
        <is>
          <t>Hugo</t>
        </is>
      </c>
    </row>
    <row r="17" ht="15" customHeight="1">
      <c r="A17" t="inlineStr">
        <is>
          <t>12/01/2026</t>
        </is>
      </c>
      <c r="B17" s="5" t="inlineStr">
        <is>
          <t>Carlos Ramírez - Volkswagen México</t>
        </is>
      </c>
      <c r="C17" s="5" t="inlineStr">
        <is>
          <t>RM-101-120 - 10 KVA - Monofásico - 120 V</t>
        </is>
      </c>
      <c r="D17" s="6" t="n">
        <v>31320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13/01/2026</t>
        </is>
      </c>
      <c r="B18" s="5" t="inlineStr">
        <is>
          <t>María López - General Motors</t>
        </is>
      </c>
      <c r="C18" s="5" t="inlineStr">
        <is>
          <t>RM-101-120 - 10 KVA - Monofásico - 120 V</t>
        </is>
      </c>
      <c r="D18" s="6" t="n">
        <v>52200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15/01/2026</t>
        </is>
      </c>
      <c r="B19" s="5" t="inlineStr">
        <is>
          <t>María López - General Motors</t>
        </is>
      </c>
      <c r="C19" s="5" t="inlineStr">
        <is>
          <t>RM-203-220 - 20 KVA - Trifásico - 220 V</t>
        </is>
      </c>
      <c r="D19" s="6" t="n">
        <v>109620</v>
      </c>
      <c r="E19" s="6">
        <f>D19/1.16</f>
        <v/>
      </c>
      <c r="H19" t="inlineStr">
        <is>
          <t>Hugo</t>
        </is>
      </c>
    </row>
    <row r="20">
      <c r="A20" s="10" t="n"/>
      <c r="B20" s="10" t="n"/>
      <c r="C20" s="10" t="n"/>
      <c r="D20" s="11" t="inlineStr">
        <is>
          <t>TOTAL SIN IVA</t>
        </is>
      </c>
      <c r="E20" s="12" t="n">
        <v>189520.8</v>
      </c>
      <c r="F20" s="10" t="n"/>
      <c r="G20" s="10" t="n"/>
      <c r="H20" s="10" t="n"/>
    </row>
    <row r="21" ht="15" customHeight="1">
      <c r="A21" t="inlineStr">
        <is>
          <t>18/01/2026</t>
        </is>
      </c>
      <c r="B21" s="5" t="inlineStr">
        <is>
          <t>Sofía Morales - Toyota</t>
        </is>
      </c>
      <c r="C21" s="5" t="inlineStr">
        <is>
          <t>RM-101-120 - 10 KVA - Monofásico - 120 V</t>
        </is>
      </c>
      <c r="D21" s="6" t="n">
        <v>52200</v>
      </c>
      <c r="E21" s="6">
        <f>D21/1.16</f>
        <v/>
      </c>
      <c r="F21" s="7">
        <f>SUM(E21:E25)</f>
        <v/>
      </c>
      <c r="G21" s="8" t="inlineStr">
        <is>
          <t>Semana 4 (23-ene)</t>
        </is>
      </c>
      <c r="H21" t="inlineStr">
        <is>
          <t>Hugo</t>
        </is>
      </c>
    </row>
    <row r="22" ht="15" customHeight="1">
      <c r="A22" t="inlineStr">
        <is>
          <t>18/01/2026</t>
        </is>
      </c>
      <c r="B22" s="5" t="inlineStr">
        <is>
          <t>Miguel Ángel Ruiz - KIA Motors</t>
        </is>
      </c>
      <c r="C22" s="5" t="inlineStr">
        <is>
          <t>RM-153-220 - 15 KVA - Trifásico - 220 V</t>
        </is>
      </c>
      <c r="D22" s="6" t="n">
        <v>29232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RM-041-120 - 4 KVA - Monofásico - 120 V</t>
        </is>
      </c>
      <c r="D23" s="6" t="n">
        <v>9860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19/01/2026</t>
        </is>
      </c>
      <c r="B24" s="5" t="inlineStr">
        <is>
          <t>Gabriela Fernández - Ford Motor Company</t>
        </is>
      </c>
      <c r="C24" s="5" t="inlineStr">
        <is>
          <t>RM-403-220 - 40 KVA - Trifásico - 220 V</t>
        </is>
      </c>
      <c r="D24" s="6" t="n">
        <v>71920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20/01/2026</t>
        </is>
      </c>
      <c r="B25" s="5" t="inlineStr">
        <is>
          <t>Carlos Ramírez - Volkswagen México</t>
        </is>
      </c>
      <c r="C25" s="5" t="inlineStr">
        <is>
          <t>RM-101-120 - 10 KVA - Monofásico - 120 V</t>
        </is>
      </c>
      <c r="D25" s="6" t="n">
        <v>17400</v>
      </c>
      <c r="E25" s="6">
        <f>D25/1.16</f>
        <v/>
      </c>
      <c r="H25" t="inlineStr">
        <is>
          <t>Hugo</t>
        </is>
      </c>
    </row>
    <row r="26">
      <c r="A26" s="10" t="n"/>
      <c r="B26" s="10" t="n"/>
      <c r="C26" s="10" t="n"/>
      <c r="D26" s="11" t="inlineStr">
        <is>
          <t>TOTAL SIN IVA</t>
        </is>
      </c>
      <c r="E26" s="12" t="n">
        <v>151714.08</v>
      </c>
      <c r="F26" s="10" t="n"/>
      <c r="G26" s="10" t="n"/>
      <c r="H26" s="10" t="n"/>
    </row>
    <row r="27" ht="15" customHeight="1">
      <c r="A27" t="inlineStr">
        <is>
          <t>28/01/2026</t>
        </is>
      </c>
      <c r="B27" s="5" t="inlineStr">
        <is>
          <t>Hugo Hernandez - Nissan</t>
        </is>
      </c>
      <c r="C27" s="5" t="inlineStr">
        <is>
          <t>REGULADOR AUTOMÁTICO DE VOLTAJE INDUSTRIAL ELECTROMECÁNICO AVR - 4 KVA - Monofásico - 120 V</t>
        </is>
      </c>
      <c r="D27" s="6" t="n">
        <v>19572.12</v>
      </c>
      <c r="E27" s="6">
        <f>D27/1.16</f>
        <v/>
      </c>
      <c r="F27" s="7">
        <f>SUM(E27:E46)</f>
        <v/>
      </c>
      <c r="G27" s="8" t="inlineStr">
        <is>
          <t>Semana 5 (30-ene)</t>
        </is>
      </c>
      <c r="H27" t="inlineStr">
        <is>
          <t>Hugo</t>
        </is>
      </c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Bifásico - 220 V</t>
        </is>
      </c>
      <c r="D28" s="6" t="n">
        <v>19572.12</v>
      </c>
      <c r="E28" s="6">
        <f>D28/1.16</f>
        <v/>
      </c>
      <c r="H28" t="inlineStr">
        <is>
          <t>Hugo</t>
        </is>
      </c>
    </row>
    <row r="29" ht="30" customHeight="1">
      <c r="A29" t="inlineStr">
        <is>
          <t>28/01/2026</t>
        </is>
      </c>
      <c r="B29" s="5" t="inlineStr">
        <is>
          <t>Elizabeth - ACURA</t>
        </is>
      </c>
      <c r="C29" s="5" t="inlineStr">
        <is>
          <t>REGULADOR AUTOMÁTICO DE
VOLTAJE INDUSTRIAL ELECTROMECÁNICO AVR - 1500 KVA - Trifásico - 480 V</t>
        </is>
      </c>
      <c r="D29" s="6" t="n">
        <v>1312024.86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DEVOLTAJE INDUSTRIAL ELECTROMECÁNICO AVR - 1500 KVA - Trifásico - 480 V</t>
        </is>
      </c>
      <c r="D30" s="6" t="n">
        <v>1206085.4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RM-053-220 - 5 KVA - Trifásico - 220 V</t>
        </is>
      </c>
      <c r="D31" s="6" t="n">
        <v>45660.42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Hugo Hernandez - Nissan</t>
        </is>
      </c>
      <c r="C32" s="5" t="inlineStr">
        <is>
          <t>REGULADOR AUTOMÁTICO DE VOLTAJE INDUSTRIAL ELECTROMECÁNICO AVR - 4 KVA - Bifásico - 220 V</t>
        </is>
      </c>
      <c r="D32" s="6" t="n">
        <v>19572.12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Elizabeth - ACURA</t>
        </is>
      </c>
      <c r="C33" s="5" t="inlineStr">
        <is>
          <t>REGULADOR AUTOMÁTICO DE VOLTAJE INDUSTRIAL ELECTROMECÁNICO AVR - 4 KVA - Bifásico - 220 V</t>
        </is>
      </c>
      <c r="D33" s="6" t="n">
        <v>19836.9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19572.12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Hugo Hernandez - Nissan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Elizabeth - ACURA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Cliente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29/01/2026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18559.8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19572.12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18559.8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30/01/2026</t>
        </is>
      </c>
      <c r="B45" s="5" t="inlineStr">
        <is>
          <t>Hugo Hernandez - Nissan</t>
        </is>
      </c>
      <c r="C45" s="5" t="inlineStr">
        <is>
          <t>REGULADOR AUTOMÁTICO DE VOLTAJE INDUSTRIAL ELECTROMECÁNICO AVR - 4 KVA - Bifásico - 220 V</t>
        </is>
      </c>
      <c r="D45" s="6" t="n">
        <v>19836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Elizabeth - ACURA</t>
        </is>
      </c>
      <c r="C46" s="5" t="inlineStr">
        <is>
          <t>REGULADOR AUTOMÁTICO DE VOLTAJE INDUSTRIAL ELECTROMECÁNICO AVR - 4 KVA - Bifásico - 220 V</t>
        </is>
      </c>
      <c r="D46" s="6" t="n">
        <v>19152</v>
      </c>
      <c r="E46" s="6">
        <f>D46/1.16</f>
        <v/>
      </c>
      <c r="H46" t="inlineStr">
        <is>
          <t>Hugo</t>
        </is>
      </c>
    </row>
    <row r="47">
      <c r="A47" s="10" t="n"/>
      <c r="B47" s="10" t="n"/>
      <c r="C47" s="10" t="n"/>
      <c r="D47" s="11" t="inlineStr">
        <is>
          <t>TOTAL SIN IVA</t>
        </is>
      </c>
      <c r="E47" s="12" t="n">
        <v>2431447.720800001</v>
      </c>
      <c r="F47" s="10" t="n"/>
      <c r="G47" s="10" t="n"/>
      <c r="H47" s="10" t="n"/>
    </row>
    <row r="48">
      <c r="D48" s="20" t="inlineStr">
        <is>
          <t>VENTAS ENERO</t>
        </is>
      </c>
      <c r="E48" s="21">
        <f>E9+E15+E20+E26+E47</f>
        <v/>
      </c>
    </row>
    <row r="49"/>
    <row r="50" ht="30" customHeight="1">
      <c r="A50" s="4" t="inlineStr">
        <is>
          <t>FEBRERO</t>
        </is>
      </c>
    </row>
    <row r="51" ht="15" customHeight="1">
      <c r="A51" t="inlineStr">
        <is>
          <t>01/02/2026</t>
        </is>
      </c>
      <c r="B51" s="5" t="inlineStr">
        <is>
          <t>Carlos Ramírez - Volkswagen México</t>
        </is>
      </c>
      <c r="C51" s="5" t="inlineStr">
        <is>
          <t>RM-041-120 - 4 KVA - Monofásico - 120 V</t>
        </is>
      </c>
      <c r="D51" s="6" t="n">
        <v>8874</v>
      </c>
      <c r="E51" s="6">
        <f>D51/1.16</f>
        <v/>
      </c>
      <c r="F51" s="7">
        <f>SUM(E51:E51)</f>
        <v/>
      </c>
      <c r="G51" s="8" t="inlineStr">
        <is>
          <t>Semana 1 (06-feb)</t>
        </is>
      </c>
      <c r="H51" t="inlineStr">
        <is>
          <t>Hugo</t>
        </is>
      </c>
      <c r="J51" s="9" t="inlineStr">
        <is>
          <t>FEBRERO</t>
        </is>
      </c>
    </row>
    <row r="52">
      <c r="A52" s="10" t="n"/>
      <c r="B52" s="10" t="n"/>
      <c r="C52" s="10" t="n"/>
      <c r="D52" s="11" t="inlineStr">
        <is>
          <t>TOTAL SIN IVA</t>
        </is>
      </c>
      <c r="E52" s="12" t="n">
        <v>7454.16</v>
      </c>
      <c r="F52" s="10" t="n"/>
      <c r="G52" s="10" t="n"/>
      <c r="H52" s="10" t="n"/>
      <c r="J52" s="13" t="inlineStr">
        <is>
          <t>VENDEDOR</t>
        </is>
      </c>
      <c r="K52" s="13" t="inlineStr">
        <is>
          <t>VENTAS</t>
        </is>
      </c>
      <c r="L52" s="13" t="inlineStr">
        <is>
          <t>%</t>
        </is>
      </c>
    </row>
    <row r="53" ht="15" customHeight="1">
      <c r="A53" t="inlineStr">
        <is>
          <t>11/02/2026</t>
        </is>
      </c>
      <c r="B53" s="5" t="inlineStr">
        <is>
          <t>José García - BMW Group</t>
        </is>
      </c>
      <c r="C53" s="5" t="inlineStr">
        <is>
          <t>RM-153-220 - 15 KVA - Trifásico - 220 V</t>
        </is>
      </c>
      <c r="D53" s="6" t="n">
        <v>64960</v>
      </c>
      <c r="E53" s="6">
        <f>D53/1.16</f>
        <v/>
      </c>
      <c r="F53" s="7">
        <f>SUM(E53:E55)</f>
        <v/>
      </c>
      <c r="G53" s="8" t="inlineStr">
        <is>
          <t>Semana 2 (13-feb)</t>
        </is>
      </c>
      <c r="H53" t="inlineStr">
        <is>
          <t>Hugo</t>
        </is>
      </c>
      <c r="J53" s="14" t="inlineStr">
        <is>
          <t>Hugo</t>
        </is>
      </c>
      <c r="K53" s="15" t="n">
        <v>590596.2048000001</v>
      </c>
      <c r="L53" s="16">
        <f>K53/E$78</f>
        <v/>
      </c>
    </row>
    <row r="54" ht="15" customHeight="1">
      <c r="A54" t="inlineStr">
        <is>
          <t>12/02/2026</t>
        </is>
      </c>
      <c r="B54" s="5" t="inlineStr">
        <is>
          <t>Hugo Hernández - Nissan Mexicana</t>
        </is>
      </c>
      <c r="C54" s="5" t="inlineStr">
        <is>
          <t>RM-041-120 - 4 KVA - Monofásico - 120 V</t>
        </is>
      </c>
      <c r="D54" s="6" t="n">
        <v>26622</v>
      </c>
      <c r="E54" s="6">
        <f>D54/1.16</f>
        <v/>
      </c>
      <c r="H54" t="inlineStr">
        <is>
          <t>Hugo</t>
        </is>
      </c>
      <c r="J54" s="14" t="inlineStr">
        <is>
          <t>Marlen</t>
        </is>
      </c>
      <c r="K54" s="15" t="n">
        <v>95889.52799999999</v>
      </c>
      <c r="L54" s="16">
        <f>K54/E$78</f>
        <v/>
      </c>
    </row>
    <row r="55" ht="15" customHeight="1">
      <c r="A55" t="inlineStr">
        <is>
          <t>13/02/2026</t>
        </is>
      </c>
      <c r="B55" s="5" t="inlineStr">
        <is>
          <t>Gabriela Fernández - Ford Motor Company</t>
        </is>
      </c>
      <c r="C55" s="5" t="inlineStr">
        <is>
          <t>RM-101-120 - 10 KVA - Monofásico - 120 V</t>
        </is>
      </c>
      <c r="D55" s="6" t="n">
        <v>34800</v>
      </c>
      <c r="E55" s="6">
        <f>D55/1.16</f>
        <v/>
      </c>
      <c r="H55" t="inlineStr">
        <is>
          <t>Hugo</t>
        </is>
      </c>
      <c r="J55" s="17" t="inlineStr">
        <is>
          <t>Total</t>
        </is>
      </c>
      <c r="K55" s="18">
        <f>E78</f>
        <v/>
      </c>
      <c r="L55" s="19" t="n">
        <v>1</v>
      </c>
    </row>
    <row r="56">
      <c r="A56" s="10" t="n"/>
      <c r="B56" s="10" t="n"/>
      <c r="C56" s="10" t="n"/>
      <c r="D56" s="11" t="inlineStr">
        <is>
          <t>TOTAL SIN IVA</t>
        </is>
      </c>
      <c r="E56" s="12" t="n">
        <v>106160.88</v>
      </c>
      <c r="F56" s="10" t="n"/>
      <c r="G56" s="10" t="n"/>
      <c r="H56" s="10" t="n"/>
    </row>
    <row r="57" ht="15" customHeight="1">
      <c r="A57" t="inlineStr">
        <is>
          <t>14/02/2026</t>
        </is>
      </c>
      <c r="B57" s="5" t="inlineStr">
        <is>
          <t>José García - BMW Group</t>
        </is>
      </c>
      <c r="C57" s="5" t="inlineStr">
        <is>
          <t>RM-042-220 - 4 KVA - Bifásico - 220 V</t>
        </is>
      </c>
      <c r="D57" s="6" t="n">
        <v>19209.6</v>
      </c>
      <c r="E57" s="6">
        <f>D57/1.16</f>
        <v/>
      </c>
      <c r="F57" s="7">
        <f>SUM(E57:E60)</f>
        <v/>
      </c>
      <c r="G57" s="8" t="inlineStr">
        <is>
          <t>Semana 3 (20-feb)</t>
        </is>
      </c>
      <c r="H57" t="inlineStr">
        <is>
          <t>Hugo</t>
        </is>
      </c>
    </row>
    <row r="58" ht="15" customHeight="1">
      <c r="A58" t="inlineStr">
        <is>
          <t>16/02/2026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32016</v>
      </c>
      <c r="E58" s="6">
        <f>D58/1.16</f>
        <v/>
      </c>
      <c r="H58" t="inlineStr">
        <is>
          <t>Hugo</t>
        </is>
      </c>
    </row>
    <row r="59" ht="15" customHeight="1">
      <c r="A59" t="inlineStr">
        <is>
          <t>18/02/2026</t>
        </is>
      </c>
      <c r="B59" s="5" t="inlineStr">
        <is>
          <t>Miguel Ángel Ruiz - KIA Motors</t>
        </is>
      </c>
      <c r="C59" s="5" t="inlineStr">
        <is>
          <t>RM-041-120 - 4 KVA - Monofásico - 120 V</t>
        </is>
      </c>
      <c r="D59" s="6" t="n">
        <v>29580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20/02/2026</t>
        </is>
      </c>
      <c r="B60" s="5" t="inlineStr">
        <is>
          <t>Carlos Ramírez - Volkswagen México</t>
        </is>
      </c>
      <c r="C60" s="5" t="inlineStr">
        <is>
          <t>RM-153-220 - 15 KVA - Trifásico - 220 V</t>
        </is>
      </c>
      <c r="D60" s="6" t="n">
        <v>64960</v>
      </c>
      <c r="E60" s="6">
        <f>D60/1.16</f>
        <v/>
      </c>
      <c r="H60" t="inlineStr">
        <is>
          <t>Hugo</t>
        </is>
      </c>
    </row>
    <row r="61">
      <c r="A61" s="10" t="n"/>
      <c r="B61" s="10" t="n"/>
      <c r="C61" s="10" t="n"/>
      <c r="D61" s="11" t="inlineStr">
        <is>
          <t>TOTAL SIN IVA</t>
        </is>
      </c>
      <c r="E61" s="12" t="n">
        <v>122443.104</v>
      </c>
      <c r="F61" s="10" t="n"/>
      <c r="G61" s="10" t="n"/>
      <c r="H61" s="10" t="n"/>
    </row>
    <row r="62" ht="15" customHeight="1">
      <c r="A62" t="inlineStr">
        <is>
          <t>23/02/2026</t>
        </is>
      </c>
      <c r="B62" s="5" t="inlineStr">
        <is>
          <t>Miguel Ángel Ruiz - KIA Motors</t>
        </is>
      </c>
      <c r="C62" s="5" t="inlineStr">
        <is>
          <t>RM-403-220 - 40 KVA - Trifásico - 220 V</t>
        </is>
      </c>
      <c r="D62" s="6" t="n">
        <v>71920</v>
      </c>
      <c r="E62" s="6">
        <f>D62/1.16</f>
        <v/>
      </c>
      <c r="F62" s="7">
        <f>SUM(E62:E76)</f>
        <v/>
      </c>
      <c r="G62" s="8" t="inlineStr">
        <is>
          <t>Semana 4 (27-feb)</t>
        </is>
      </c>
      <c r="H62" t="inlineStr">
        <is>
          <t>Hugo</t>
        </is>
      </c>
    </row>
    <row r="63" ht="15" customHeight="1">
      <c r="A63" t="inlineStr">
        <is>
          <t>26/02/2026</t>
        </is>
      </c>
      <c r="B63" s="5" t="inlineStr">
        <is>
          <t>José García - BMW Group</t>
        </is>
      </c>
      <c r="C63" s="5" t="inlineStr">
        <is>
          <t>RM-203-220 - 20 KVA - Trifásico - 220 V</t>
        </is>
      </c>
      <c r="D63" s="6" t="n">
        <v>40600</v>
      </c>
      <c r="E63" s="6">
        <f>D63/1.16</f>
        <v/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Elizabeth - ACURA</t>
        </is>
      </c>
      <c r="C64" s="5" t="inlineStr">
        <is>
          <t>RM-042-220 - 4 KVA - Bifásico - 220 V</t>
        </is>
      </c>
      <c r="D64" s="6" t="n">
        <v>19403.28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18897.12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REGULADOR AUTOMÁTICO DE VOLTAJE INDUSTRIAL ELECTROMECÁNICO AVR - 4 KVA - Bifásico - 220 V</t>
        </is>
      </c>
      <c r="D66" s="6" t="n">
        <v>19572.12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27/02/2026</t>
        </is>
      </c>
      <c r="B67" s="5" t="inlineStr">
        <is>
          <t>Carlos Ramírez - Volkswagen México</t>
        </is>
      </c>
      <c r="C67" s="5" t="inlineStr">
        <is>
          <t>RM-203-220 - 20 KVA - Trifásico - 220 V</t>
        </is>
      </c>
      <c r="D67" s="6" t="n">
        <v>121800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Miguel Ángel Ruiz - KIA Motors</t>
        </is>
      </c>
      <c r="C68" s="5" t="inlineStr">
        <is>
          <t>RM-042-220 - 4 KVA - Bifásico - 220 V</t>
        </is>
      </c>
      <c r="D68" s="6" t="n">
        <v>32016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Cliente</t>
        </is>
      </c>
      <c r="C69" s="5" t="inlineStr">
        <is>
          <t>REGULADOR AUTOMÁTICO DE VOLTAJE INDUSTRIAL ELECTROMECÁNICO AVR - 4 KVA - Bifásico - 220 V</t>
        </is>
      </c>
      <c r="D69" s="6" t="n">
        <v>19572.12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Hugo Hernandez - Nissan</t>
        </is>
      </c>
      <c r="C71" s="5" t="inlineStr">
        <is>
          <t>REGULADOR AUTOMÁTICO DE VOLTAJE INDUSTRIAL ELECTROMECÁNICO AVR - 4 KVA - Monofásico - 120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Elizabeth - ACURA</t>
        </is>
      </c>
      <c r="C73" s="5" t="inlineStr">
        <is>
          <t>RM-042-220 - 4 KVA - Bifásico - 220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Hugo Hernandez - Nissan</t>
        </is>
      </c>
      <c r="C74" s="5" t="inlineStr">
        <is>
          <t>RM-042N-220 - 4 KVA - Bifásico - 220 V</t>
        </is>
      </c>
      <c r="D74" s="6" t="n">
        <v>47291.04</v>
      </c>
      <c r="E74" s="6">
        <f>D74/1.16</f>
        <v/>
      </c>
      <c r="H74" t="inlineStr">
        <is>
          <t>Marlen</t>
        </is>
      </c>
    </row>
    <row r="75" ht="15" customHeight="1">
      <c r="A75" t="inlineStr">
        <is>
          <t>27/02/2026</t>
        </is>
      </c>
      <c r="B75" s="5" t="inlineStr">
        <is>
          <t>Elizabeth - ACURA</t>
        </is>
      </c>
      <c r="C75" s="5" t="inlineStr">
        <is>
          <t>RM-052-220 - 5 KVA - Bifásico - 220 V</t>
        </is>
      </c>
      <c r="D75" s="6" t="n">
        <v>19572.12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Hugo Hernandez - Nissan</t>
        </is>
      </c>
      <c r="C76" s="5" t="inlineStr">
        <is>
          <t>RM-053-480 - 5 KVA - Trifásico - 480 V</t>
        </is>
      </c>
      <c r="D76" s="6" t="n">
        <v>47291.04</v>
      </c>
      <c r="E76" s="6">
        <f>D76/1.16</f>
        <v/>
      </c>
      <c r="H76" t="inlineStr">
        <is>
          <t>Marlen</t>
        </is>
      </c>
    </row>
    <row r="77">
      <c r="A77" s="10" t="n"/>
      <c r="B77" s="10" t="n"/>
      <c r="C77" s="10" t="n"/>
      <c r="D77" s="11" t="inlineStr">
        <is>
          <t>TOTAL SIN IVA</t>
        </is>
      </c>
      <c r="E77" s="12" t="n">
        <v>450427.5888</v>
      </c>
      <c r="F77" s="10" t="n"/>
      <c r="G77" s="10" t="n"/>
      <c r="H77" s="10" t="n"/>
    </row>
    <row r="78">
      <c r="D78" s="20" t="inlineStr">
        <is>
          <t>VENTAS FEBRERO</t>
        </is>
      </c>
      <c r="E78" s="21">
        <f>E52+E56+E61+E77</f>
        <v/>
      </c>
    </row>
  </sheetData>
  <mergeCells count="30">
    <mergeCell ref="G51"/>
    <mergeCell ref="F16:F19"/>
    <mergeCell ref="F5:F6"/>
    <mergeCell ref="G57:G60"/>
    <mergeCell ref="A7:H7"/>
    <mergeCell ref="G62:G76"/>
    <mergeCell ref="F27:F46"/>
    <mergeCell ref="A5:A6"/>
    <mergeCell ref="G5:G6"/>
    <mergeCell ref="F10:F14"/>
    <mergeCell ref="A50:H50"/>
    <mergeCell ref="F53:F55"/>
    <mergeCell ref="J51:L51"/>
    <mergeCell ref="G8"/>
    <mergeCell ref="F62:F76"/>
    <mergeCell ref="G21:G25"/>
    <mergeCell ref="A2:H2"/>
    <mergeCell ref="J8:L8"/>
    <mergeCell ref="F51"/>
    <mergeCell ref="B5:B6"/>
    <mergeCell ref="G27:G46"/>
    <mergeCell ref="H5:H6"/>
    <mergeCell ref="G10:G14"/>
    <mergeCell ref="F8"/>
    <mergeCell ref="G53:G55"/>
    <mergeCell ref="F21:F25"/>
    <mergeCell ref="D5:E5"/>
    <mergeCell ref="G16:G19"/>
    <mergeCell ref="F57:F60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  <col width="60" customWidth="1" min="3" max="3"/>
    <col width="16" customWidth="1" min="4" max="4"/>
    <col width="22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19" customWidth="1" min="11" max="11"/>
    <col width="11" customWidth="1" min="12" max="12"/>
  </cols>
  <sheetData>
    <row r="1"/>
    <row r="2">
      <c r="A2" s="22" t="inlineStr">
        <is>
          <t>Comisiones Anual 2026</t>
        </is>
      </c>
    </row>
    <row r="3"/>
    <row r="4"/>
    <row r="5">
      <c r="A5" s="23" t="inlineStr">
        <is>
          <t>Fecha</t>
        </is>
      </c>
      <c r="B5" s="23" t="inlineStr">
        <is>
          <t>Cliente</t>
        </is>
      </c>
      <c r="C5" s="23" t="inlineStr">
        <is>
          <t>Concepto</t>
        </is>
      </c>
      <c r="D5" s="23" t="inlineStr">
        <is>
          <t>DEPÓSITO</t>
        </is>
      </c>
      <c r="E5" s="3" t="n"/>
      <c r="F5" s="23" t="inlineStr">
        <is>
          <t>Total</t>
        </is>
      </c>
      <c r="G5" s="23" t="inlineStr">
        <is>
          <t>Semana</t>
        </is>
      </c>
      <c r="H5" s="23" t="inlineStr">
        <is>
          <t>Vendedor</t>
        </is>
      </c>
    </row>
    <row r="6">
      <c r="A6" s="3" t="n"/>
      <c r="B6" s="3" t="n"/>
      <c r="C6" s="3" t="n"/>
      <c r="D6" s="23" t="inlineStr">
        <is>
          <t>Con IVA</t>
        </is>
      </c>
      <c r="E6" s="23" t="inlineStr">
        <is>
          <t>Sin IVA</t>
        </is>
      </c>
      <c r="F6" s="3" t="n"/>
      <c r="G6" s="3" t="n"/>
      <c r="H6" s="3" t="n"/>
    </row>
    <row r="7"/>
    <row r="8" ht="30" customHeight="1">
      <c r="A8" s="24" t="inlineStr">
        <is>
          <t>ENERO</t>
        </is>
      </c>
    </row>
    <row r="9" ht="15" customHeight="1">
      <c r="A9" t="inlineStr">
        <is>
          <t>01/01/2026</t>
        </is>
      </c>
      <c r="B9" s="5" t="inlineStr">
        <is>
          <t>Sofía Morales - Toyota</t>
        </is>
      </c>
      <c r="C9" s="5" t="inlineStr">
        <is>
          <t>RM-041-120 - 4 KVA - Monofásico - 120 V</t>
        </is>
      </c>
      <c r="D9" s="6" t="n">
        <v>29580</v>
      </c>
      <c r="E9" s="6">
        <f>D9/1.16</f>
        <v/>
      </c>
      <c r="F9" s="25">
        <f>SUM(E9:E9)</f>
        <v/>
      </c>
      <c r="G9" s="8" t="inlineStr">
        <is>
          <t>Semana 1 (02-ene)</t>
        </is>
      </c>
      <c r="H9" t="inlineStr">
        <is>
          <t>Hugo</t>
        </is>
      </c>
      <c r="J9" s="9" t="inlineStr">
        <is>
          <t>ENERO</t>
        </is>
      </c>
    </row>
    <row r="10">
      <c r="A10" s="26" t="n"/>
      <c r="B10" s="26" t="n"/>
      <c r="C10" s="26" t="n"/>
      <c r="D10" s="27" t="inlineStr">
        <is>
          <t>TOTAL SIN IVA</t>
        </is>
      </c>
      <c r="E10" s="28">
        <f>SUM(E9:E9)</f>
        <v/>
      </c>
      <c r="F10" s="26" t="n"/>
      <c r="G10" s="26" t="n"/>
      <c r="H10" s="26" t="n"/>
      <c r="J10" s="13" t="inlineStr">
        <is>
          <t>VENDEDOR</t>
        </is>
      </c>
      <c r="K10" s="13" t="inlineStr">
        <is>
          <t>VENTAS</t>
        </is>
      </c>
      <c r="L10" s="13" t="inlineStr">
        <is>
          <t>%</t>
        </is>
      </c>
    </row>
    <row r="11" ht="15" customHeight="1">
      <c r="A11" t="inlineStr">
        <is>
          <t>03/01/2026</t>
        </is>
      </c>
      <c r="B11" s="5" t="inlineStr">
        <is>
          <t>Miguel Ángel Ruiz - KIA Motors</t>
        </is>
      </c>
      <c r="C11" s="5" t="inlineStr">
        <is>
          <t>RM-101-120 - 10 KVA - Monofásico - 120 V</t>
        </is>
      </c>
      <c r="D11" s="6" t="n">
        <v>52200</v>
      </c>
      <c r="E11" s="6">
        <f>D11/1.16</f>
        <v/>
      </c>
      <c r="F11" s="25">
        <f>SUM(E11:E15)</f>
        <v/>
      </c>
      <c r="G11" s="8" t="inlineStr">
        <is>
          <t>Semana 2 (09-ene)</t>
        </is>
      </c>
      <c r="H11" t="inlineStr">
        <is>
          <t>Hugo</t>
        </is>
      </c>
      <c r="J11" s="14" t="inlineStr">
        <is>
          <t>Hugo</t>
        </is>
      </c>
      <c r="K11" s="15" t="n">
        <v>3111871.240800001</v>
      </c>
      <c r="L11" s="16">
        <f>K11/E$49</f>
        <v/>
      </c>
    </row>
    <row r="12" ht="15" customHeight="1">
      <c r="A12" t="inlineStr">
        <is>
          <t>03/01/2026</t>
        </is>
      </c>
      <c r="B12" s="5" t="inlineStr">
        <is>
          <t>María López - General Motors</t>
        </is>
      </c>
      <c r="C12" s="5" t="inlineStr">
        <is>
          <t>RM-153-220 - 15 KVA - Trifásico - 220 V</t>
        </is>
      </c>
      <c r="D12" s="6" t="n">
        <v>87696</v>
      </c>
      <c r="E12" s="6">
        <f>D12/1.16</f>
        <v/>
      </c>
      <c r="H12" t="inlineStr">
        <is>
          <t>Hugo</t>
        </is>
      </c>
      <c r="J12" s="17" t="inlineStr">
        <is>
          <t>Total</t>
        </is>
      </c>
      <c r="K12" s="18">
        <f>E49</f>
        <v/>
      </c>
      <c r="L12" s="19" t="n">
        <v>1</v>
      </c>
    </row>
    <row r="13" ht="15" customHeight="1">
      <c r="A13" t="inlineStr">
        <is>
          <t>03/01/2026</t>
        </is>
      </c>
      <c r="B13" s="5" t="inlineStr">
        <is>
          <t>Miguel Ángel Ruiz - KIA Motors</t>
        </is>
      </c>
      <c r="C13" s="5" t="inlineStr">
        <is>
          <t>RM-403-220 - 40 KVA - Trifásico - 220 V</t>
        </is>
      </c>
      <c r="D13" s="6" t="n">
        <v>143840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03/01/2026</t>
        </is>
      </c>
      <c r="B14" s="5" t="inlineStr">
        <is>
          <t>Carlos Ramírez - Volkswagen México</t>
        </is>
      </c>
      <c r="C14" s="5" t="inlineStr">
        <is>
          <t>RM-101-120 - 10 KVA - Monofásico - 120 V</t>
        </is>
      </c>
      <c r="D14" s="6" t="n">
        <v>17400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07/01/2026</t>
        </is>
      </c>
      <c r="B15" s="5" t="inlineStr">
        <is>
          <t>María López - General Motors</t>
        </is>
      </c>
      <c r="C15" s="5" t="inlineStr">
        <is>
          <t>RM-203-220 - 20 KVA - Trifásico - 220 V</t>
        </is>
      </c>
      <c r="D15" s="6" t="n">
        <v>73080</v>
      </c>
      <c r="E15" s="6">
        <f>D15/1.16</f>
        <v/>
      </c>
      <c r="H15" t="inlineStr">
        <is>
          <t>Hugo</t>
        </is>
      </c>
    </row>
    <row r="16">
      <c r="A16" s="26" t="n"/>
      <c r="B16" s="26" t="n"/>
      <c r="C16" s="26" t="n"/>
      <c r="D16" s="27" t="inlineStr">
        <is>
          <t>TOTAL SIN IVA</t>
        </is>
      </c>
      <c r="E16" s="28">
        <f>SUM(E11:E15)</f>
        <v/>
      </c>
      <c r="F16" s="26" t="n"/>
      <c r="G16" s="26" t="n"/>
      <c r="H16" s="26" t="n"/>
    </row>
    <row r="17" ht="15" customHeight="1">
      <c r="A17" t="inlineStr">
        <is>
          <t>10/01/2026</t>
        </is>
      </c>
      <c r="B17" s="5" t="inlineStr">
        <is>
          <t>Miguel Ángel Ruiz - KIA Motors</t>
        </is>
      </c>
      <c r="C17" s="5" t="inlineStr">
        <is>
          <t>RM-153-220 - 15 KVA - Trifásico - 220 V</t>
        </is>
      </c>
      <c r="D17" s="6" t="n">
        <v>32480</v>
      </c>
      <c r="E17" s="6">
        <f>D17/1.16</f>
        <v/>
      </c>
      <c r="F17" s="25">
        <f>SUM(E17:E20)</f>
        <v/>
      </c>
      <c r="G17" s="8" t="inlineStr">
        <is>
          <t>Semana 3 (16-ene)</t>
        </is>
      </c>
      <c r="H17" t="inlineStr">
        <is>
          <t>Hugo</t>
        </is>
      </c>
    </row>
    <row r="18" ht="15" customHeight="1">
      <c r="A18" t="inlineStr">
        <is>
          <t>12/01/2026</t>
        </is>
      </c>
      <c r="B18" s="5" t="inlineStr">
        <is>
          <t>Carlos Ramírez - Volkswagen México</t>
        </is>
      </c>
      <c r="C18" s="5" t="inlineStr">
        <is>
          <t>RM-101-120 - 10 KVA - Monofásico - 120 V</t>
        </is>
      </c>
      <c r="D18" s="6" t="n">
        <v>31320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13/01/2026</t>
        </is>
      </c>
      <c r="B19" s="5" t="inlineStr">
        <is>
          <t>María López - General Motors</t>
        </is>
      </c>
      <c r="C19" s="5" t="inlineStr">
        <is>
          <t>RM-101-120 - 10 KVA - Monofásico - 120 V</t>
        </is>
      </c>
      <c r="D19" s="6" t="n">
        <v>52200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15/01/2026</t>
        </is>
      </c>
      <c r="B20" s="5" t="inlineStr">
        <is>
          <t>María López - General Motors</t>
        </is>
      </c>
      <c r="C20" s="5" t="inlineStr">
        <is>
          <t>RM-203-220 - 20 KVA - Trifásico - 220 V</t>
        </is>
      </c>
      <c r="D20" s="6" t="n">
        <v>109620</v>
      </c>
      <c r="E20" s="6">
        <f>D20/1.16</f>
        <v/>
      </c>
      <c r="H20" t="inlineStr">
        <is>
          <t>Hugo</t>
        </is>
      </c>
    </row>
    <row r="21">
      <c r="A21" s="26" t="n"/>
      <c r="B21" s="26" t="n"/>
      <c r="C21" s="26" t="n"/>
      <c r="D21" s="27" t="inlineStr">
        <is>
          <t>TOTAL SIN IVA</t>
        </is>
      </c>
      <c r="E21" s="28">
        <f>SUM(E17:E20)</f>
        <v/>
      </c>
      <c r="F21" s="26" t="n"/>
      <c r="G21" s="26" t="n"/>
      <c r="H21" s="26" t="n"/>
    </row>
    <row r="22" ht="15" customHeight="1">
      <c r="A22" t="inlineStr">
        <is>
          <t>18/01/2026</t>
        </is>
      </c>
      <c r="B22" s="5" t="inlineStr">
        <is>
          <t>Sofía Morales - Toyota</t>
        </is>
      </c>
      <c r="C22" s="5" t="inlineStr">
        <is>
          <t>RM-101-120 - 10 KVA - Monofásico - 120 V</t>
        </is>
      </c>
      <c r="D22" s="6" t="n">
        <v>52200</v>
      </c>
      <c r="E22" s="6">
        <f>D22/1.16</f>
        <v/>
      </c>
      <c r="F22" s="25">
        <f>SUM(E22:E26)</f>
        <v/>
      </c>
      <c r="G22" s="8" t="inlineStr">
        <is>
          <t>Semana 4 (23-ene)</t>
        </is>
      </c>
      <c r="H22" t="inlineStr">
        <is>
          <t>Hugo</t>
        </is>
      </c>
    </row>
    <row r="23" ht="15" customHeight="1">
      <c r="A23" t="inlineStr">
        <is>
          <t>18/01/2026</t>
        </is>
      </c>
      <c r="B23" s="5" t="inlineStr">
        <is>
          <t>Miguel Ángel Ruiz - KIA Motors</t>
        </is>
      </c>
      <c r="C23" s="5" t="inlineStr">
        <is>
          <t>RM-153-220 - 15 KVA - Trifásico - 220 V</t>
        </is>
      </c>
      <c r="D23" s="6" t="n">
        <v>29232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18/01/2026</t>
        </is>
      </c>
      <c r="B24" s="5" t="inlineStr">
        <is>
          <t>Miguel Ángel Ruiz - KIA Motors</t>
        </is>
      </c>
      <c r="C24" s="5" t="inlineStr">
        <is>
          <t>RM-041-120 - 4 KVA - Monofásico - 120 V</t>
        </is>
      </c>
      <c r="D24" s="6" t="n">
        <v>9860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19/01/2026</t>
        </is>
      </c>
      <c r="B25" s="5" t="inlineStr">
        <is>
          <t>Gabriela Fernández - Ford Motor Company</t>
        </is>
      </c>
      <c r="C25" s="5" t="inlineStr">
        <is>
          <t>RM-403-220 - 40 KVA - Trifásico - 220 V</t>
        </is>
      </c>
      <c r="D25" s="6" t="n">
        <v>71920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20/01/2026</t>
        </is>
      </c>
      <c r="B26" s="5" t="inlineStr">
        <is>
          <t>Carlos Ramírez - Volkswagen México</t>
        </is>
      </c>
      <c r="C26" s="5" t="inlineStr">
        <is>
          <t>RM-101-120 - 10 KVA - Monofásico - 120 V</t>
        </is>
      </c>
      <c r="D26" s="6" t="n">
        <v>17400</v>
      </c>
      <c r="E26" s="6">
        <f>D26/1.16</f>
        <v/>
      </c>
      <c r="H26" t="inlineStr">
        <is>
          <t>Hugo</t>
        </is>
      </c>
    </row>
    <row r="27">
      <c r="A27" s="26" t="n"/>
      <c r="B27" s="26" t="n"/>
      <c r="C27" s="26" t="n"/>
      <c r="D27" s="27" t="inlineStr">
        <is>
          <t>TOTAL SIN IVA</t>
        </is>
      </c>
      <c r="E27" s="28">
        <f>SUM(E22:E26)</f>
        <v/>
      </c>
      <c r="F27" s="26" t="n"/>
      <c r="G27" s="26" t="n"/>
      <c r="H27" s="26" t="n"/>
    </row>
    <row r="28" ht="15" customHeight="1">
      <c r="A28" t="inlineStr">
        <is>
          <t>28/01/2026</t>
        </is>
      </c>
      <c r="B28" s="5" t="inlineStr">
        <is>
          <t>Hugo Hernandez - Nissan</t>
        </is>
      </c>
      <c r="C28" s="5" t="inlineStr">
        <is>
          <t>REGULADOR AUTOMÁTICO DE VOLTAJE INDUSTRIAL ELECTROMECÁNICO AVR - 4 KVA - Monofásico - 120 V</t>
        </is>
      </c>
      <c r="D28" s="6" t="n">
        <v>19572.12</v>
      </c>
      <c r="E28" s="6">
        <f>D28/1.16</f>
        <v/>
      </c>
      <c r="F28" s="25">
        <f>SUM(E28:E47)</f>
        <v/>
      </c>
      <c r="G28" s="8" t="inlineStr">
        <is>
          <t>Semana 5 (30-ene)</t>
        </is>
      </c>
      <c r="H28" t="inlineStr">
        <is>
          <t>Hugo</t>
        </is>
      </c>
    </row>
    <row r="29" ht="15" customHeight="1">
      <c r="A29" t="inlineStr">
        <is>
          <t>28/01/2026</t>
        </is>
      </c>
      <c r="B29" s="5" t="inlineStr">
        <is>
          <t>Hugo Hernandez - Nissan</t>
        </is>
      </c>
      <c r="C29" s="5" t="inlineStr">
        <is>
          <t>REGULADOR AUTOMÁTICO DE VOLTAJE INDUSTRIAL ELECTROMECÁNICO AVR - 4 KVA - Bifásico - 220 V</t>
        </is>
      </c>
      <c r="D29" s="6" t="n">
        <v>19572.12</v>
      </c>
      <c r="E29" s="6">
        <f>D29/1.16</f>
        <v/>
      </c>
      <c r="H29" t="inlineStr">
        <is>
          <t>Hugo</t>
        </is>
      </c>
    </row>
    <row r="30" ht="30" customHeight="1">
      <c r="A30" t="inlineStr">
        <is>
          <t>28/01/2026</t>
        </is>
      </c>
      <c r="B30" s="5" t="inlineStr">
        <is>
          <t>Elizabeth - ACURA</t>
        </is>
      </c>
      <c r="C30" s="5" t="inlineStr">
        <is>
          <t>REGULADOR AUTOMÁTICO DE
VOLTAJE INDUSTRIAL ELECTROMECÁNICO AVR - 1500 KVA - Trifásico - 480 V</t>
        </is>
      </c>
      <c r="D30" s="6" t="n">
        <v>1312024.86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28/01/2026</t>
        </is>
      </c>
      <c r="B31" s="5" t="inlineStr">
        <is>
          <t>Elizabeth - ACURA</t>
        </is>
      </c>
      <c r="C31" s="5" t="inlineStr">
        <is>
          <t>REGULADOR AUTOMÁTICO DEVOLTAJE INDUSTRIAL ELECTROMECÁNICO AVR - 1500 KVA - Trifásico - 480 V</t>
        </is>
      </c>
      <c r="D31" s="6" t="n">
        <v>1206085.4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28/01/2026</t>
        </is>
      </c>
      <c r="B32" s="5" t="inlineStr">
        <is>
          <t>Elizabeth - ACURA</t>
        </is>
      </c>
      <c r="C32" s="5" t="inlineStr">
        <is>
          <t>RM-053-220 - 5 KVA - Trifásico - 220 V</t>
        </is>
      </c>
      <c r="D32" s="6" t="n">
        <v>45660.42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28/01/2026</t>
        </is>
      </c>
      <c r="B33" s="5" t="inlineStr">
        <is>
          <t>Hugo Hernandez - Nissan</t>
        </is>
      </c>
      <c r="C33" s="5" t="inlineStr">
        <is>
          <t>REGULADOR AUTOMÁTICO DE VOLTAJE INDUSTRIAL ELECTROMECÁNICO AVR - 4 KVA - Bifásico - 220 V</t>
        </is>
      </c>
      <c r="D33" s="6" t="n">
        <v>19572.12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28/01/2026</t>
        </is>
      </c>
      <c r="B34" s="5" t="inlineStr">
        <is>
          <t>Elizabeth - ACURA</t>
        </is>
      </c>
      <c r="C34" s="5" t="inlineStr">
        <is>
          <t>REGULADOR AUTOMÁTICO DE VOLTAJE INDUSTRIAL ELECTROMECÁNICO AVR - 4 KVA - Bifásico - 220 V</t>
        </is>
      </c>
      <c r="D34" s="6" t="n">
        <v>19836.9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28/01/2026</t>
        </is>
      </c>
      <c r="B35" s="5" t="inlineStr">
        <is>
          <t>Elizabeth - ACURA</t>
        </is>
      </c>
      <c r="C35" s="5" t="inlineStr">
        <is>
          <t>REGULADOR AUTOMÁTICO DE VOLTAJE INDUSTRIAL ELECTROMECÁNICO AVR - 4 KVA - Bifásico - 220 V</t>
        </is>
      </c>
      <c r="D35" s="6" t="n">
        <v>19572.12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28/01/2026</t>
        </is>
      </c>
      <c r="B36" s="5" t="inlineStr">
        <is>
          <t>Hugo Hernandez - Nissan</t>
        </is>
      </c>
      <c r="C36" s="5" t="inlineStr">
        <is>
          <t>REGULADOR AUTOMÁTICO DE VOLTAJE INDUSTRIAL ELECTROMECÁNICO AVR - 4 KVA - Bifásico - 220 V</t>
        </is>
      </c>
      <c r="D36" s="6" t="n">
        <v>19572.12</v>
      </c>
      <c r="E36" s="6">
        <f>D36/1.16</f>
        <v/>
      </c>
      <c r="H36" t="inlineStr">
        <is>
          <t>Hugo</t>
        </is>
      </c>
    </row>
    <row r="37" ht="15" customHeight="1">
      <c r="A37" t="inlineStr">
        <is>
          <t>28/01/2026</t>
        </is>
      </c>
      <c r="B37" s="5" t="inlineStr">
        <is>
          <t>Elizabeth - ACURA</t>
        </is>
      </c>
      <c r="C37" s="5" t="inlineStr">
        <is>
          <t>REGULADOR AUTOMÁTICO DE VOLTAJE INDUSTRIAL ELECTROMECÁNICO AVR - 4 KVA - Bifásico - 220 V</t>
        </is>
      </c>
      <c r="D37" s="6" t="n">
        <v>19572.12</v>
      </c>
      <c r="E37" s="6">
        <f>D37/1.16</f>
        <v/>
      </c>
      <c r="H37" t="inlineStr">
        <is>
          <t>Hugo</t>
        </is>
      </c>
    </row>
    <row r="38" ht="15" customHeight="1">
      <c r="A38" t="inlineStr">
        <is>
          <t>28/01/2026</t>
        </is>
      </c>
      <c r="B38" s="5" t="inlineStr">
        <is>
          <t>Cliente</t>
        </is>
      </c>
      <c r="C38" s="5" t="inlineStr">
        <is>
          <t>REGULADOR AUTOMÁTICO DE VOLTAJE INDUSTRIAL ELECTROMECÁNICO AVR - 4 KVA - Bifásico - 220 V</t>
        </is>
      </c>
      <c r="D38" s="6" t="n">
        <v>19572.12</v>
      </c>
      <c r="E38" s="6">
        <f>D38/1.16</f>
        <v/>
      </c>
      <c r="H38" t="inlineStr">
        <is>
          <t>Hugo</t>
        </is>
      </c>
    </row>
    <row r="39" ht="15" customHeight="1">
      <c r="A39" t="inlineStr">
        <is>
          <t>28/01/2026</t>
        </is>
      </c>
      <c r="B39" s="5" t="inlineStr">
        <is>
          <t>Cliente</t>
        </is>
      </c>
      <c r="C39" s="5" t="inlineStr">
        <is>
          <t>REGULADOR AUTOMÁTICO DE VOLTAJE INDUSTRIAL ELECTROMECÁNICO AVR - 4 KVA - Bifásico - 220 V</t>
        </is>
      </c>
      <c r="D39" s="6" t="n">
        <v>19572.12</v>
      </c>
      <c r="E39" s="6">
        <f>D39/1.16</f>
        <v/>
      </c>
      <c r="H39" t="inlineStr">
        <is>
          <t>Hugo</t>
        </is>
      </c>
    </row>
    <row r="40" ht="15" customHeight="1">
      <c r="A40" t="inlineStr">
        <is>
          <t>28/01/2026</t>
        </is>
      </c>
      <c r="B40" s="5" t="inlineStr">
        <is>
          <t>Cliente</t>
        </is>
      </c>
      <c r="C40" s="5" t="inlineStr">
        <is>
          <t>REGULADOR AUTOMÁTICO DE VOLTAJE INDUSTRIAL ELECTROMECÁNICO AVR - 4 KVA - Bifásico - 220 V</t>
        </is>
      </c>
      <c r="D40" s="6" t="n">
        <v>19572.12</v>
      </c>
      <c r="E40" s="6">
        <f>D40/1.16</f>
        <v/>
      </c>
      <c r="H40" t="inlineStr">
        <is>
          <t>Hugo</t>
        </is>
      </c>
    </row>
    <row r="41" ht="15" customHeight="1">
      <c r="A41" t="inlineStr">
        <is>
          <t>28/01/2026</t>
        </is>
      </c>
      <c r="B41" s="5" t="inlineStr">
        <is>
          <t>Cliente</t>
        </is>
      </c>
      <c r="C41" s="5" t="inlineStr">
        <is>
          <t>REGULADOR AUTOMÁTICO DE VOLTAJE INDUSTRIAL ELECTROMECÁNICO AVR - 4 KVA - Bifásico - 220 V</t>
        </is>
      </c>
      <c r="D41" s="6" t="n">
        <v>19572.12</v>
      </c>
      <c r="E41" s="6">
        <f>D41/1.16</f>
        <v/>
      </c>
      <c r="H41" t="inlineStr">
        <is>
          <t>Hugo</t>
        </is>
      </c>
    </row>
    <row r="42" ht="15" customHeight="1">
      <c r="A42" t="inlineStr">
        <is>
          <t>29/01/2026</t>
        </is>
      </c>
      <c r="B42" s="5" t="inlineStr">
        <is>
          <t>Cliente</t>
        </is>
      </c>
      <c r="C42" s="5" t="inlineStr">
        <is>
          <t>REGULADOR AUTOMÁTICO DE VOLTAJE INDUSTRIAL ELECTROMECÁNICO AVR - 4 KVA - Bifásico - 220 V</t>
        </is>
      </c>
      <c r="D42" s="6" t="n">
        <v>19572.12</v>
      </c>
      <c r="E42" s="6">
        <f>D42/1.16</f>
        <v/>
      </c>
      <c r="H42" t="inlineStr">
        <is>
          <t>Hugo</t>
        </is>
      </c>
    </row>
    <row r="43" ht="15" customHeight="1">
      <c r="A43" t="inlineStr">
        <is>
          <t>29/01/2026</t>
        </is>
      </c>
      <c r="B43" s="5" t="inlineStr">
        <is>
          <t>Cliente</t>
        </is>
      </c>
      <c r="C43" s="5" t="inlineStr">
        <is>
          <t>REGULADOR AUTOMÁTICO DE VOLTAJE INDUSTRIAL ELECTROMECÁNICO AVR - 4 KVA - Bifásico - 220 V</t>
        </is>
      </c>
      <c r="D43" s="6" t="n">
        <v>18559.8</v>
      </c>
      <c r="E43" s="6">
        <f>D43/1.16</f>
        <v/>
      </c>
      <c r="H43" t="inlineStr">
        <is>
          <t>Hugo</t>
        </is>
      </c>
    </row>
    <row r="44" ht="15" customHeight="1">
      <c r="A44" t="inlineStr">
        <is>
          <t>29/01/2026</t>
        </is>
      </c>
      <c r="B44" s="5" t="inlineStr">
        <is>
          <t>Cliente</t>
        </is>
      </c>
      <c r="C44" s="5" t="inlineStr">
        <is>
          <t>REGULADOR AUTOMÁTICO DE VOLTAJE INDUSTRIAL ELECTROMECÁNICO AVR - 4 KVA - Bifásico - 220 V</t>
        </is>
      </c>
      <c r="D44" s="6" t="n">
        <v>19572.12</v>
      </c>
      <c r="E44" s="6">
        <f>D44/1.16</f>
        <v/>
      </c>
      <c r="H44" t="inlineStr">
        <is>
          <t>Hugo</t>
        </is>
      </c>
    </row>
    <row r="45" ht="15" customHeight="1">
      <c r="A45" t="inlineStr">
        <is>
          <t>29/01/2026</t>
        </is>
      </c>
      <c r="B45" s="5" t="inlineStr">
        <is>
          <t>Cliente</t>
        </is>
      </c>
      <c r="C45" s="5" t="inlineStr">
        <is>
          <t>REGULADOR AUTOMÁTICO DE VOLTAJE INDUSTRIAL ELECTROMECÁNICO AVR - 4 KVA - Bifásico - 220 V</t>
        </is>
      </c>
      <c r="D45" s="6" t="n">
        <v>18559.8</v>
      </c>
      <c r="E45" s="6">
        <f>D45/1.16</f>
        <v/>
      </c>
      <c r="H45" t="inlineStr">
        <is>
          <t>Hugo</t>
        </is>
      </c>
    </row>
    <row r="46" ht="15" customHeight="1">
      <c r="A46" t="inlineStr">
        <is>
          <t>30/01/2026</t>
        </is>
      </c>
      <c r="B46" s="5" t="inlineStr">
        <is>
          <t>Hugo Hernandez - Nissan</t>
        </is>
      </c>
      <c r="C46" s="5" t="inlineStr">
        <is>
          <t>REGULADOR AUTOMÁTICO DE VOLTAJE INDUSTRIAL ELECTROMECÁNICO AVR - 4 KVA - Bifásico - 220 V</t>
        </is>
      </c>
      <c r="D46" s="6" t="n">
        <v>19836</v>
      </c>
      <c r="E46" s="6">
        <f>D46/1.16</f>
        <v/>
      </c>
      <c r="H46" t="inlineStr">
        <is>
          <t>Hugo</t>
        </is>
      </c>
    </row>
    <row r="47" ht="15" customHeight="1">
      <c r="A47" t="inlineStr">
        <is>
          <t>30/01/2026</t>
        </is>
      </c>
      <c r="B47" s="5" t="inlineStr">
        <is>
          <t>Elizabeth - ACURA</t>
        </is>
      </c>
      <c r="C47" s="5" t="inlineStr">
        <is>
          <t>REGULADOR AUTOMÁTICO DE VOLTAJE INDUSTRIAL ELECTROMECÁNICO AVR - 4 KVA - Bifásico - 220 V</t>
        </is>
      </c>
      <c r="D47" s="6" t="n">
        <v>19152</v>
      </c>
      <c r="E47" s="6">
        <f>D47/1.16</f>
        <v/>
      </c>
      <c r="H47" t="inlineStr">
        <is>
          <t>Hugo</t>
        </is>
      </c>
    </row>
    <row r="48">
      <c r="A48" s="26" t="n"/>
      <c r="B48" s="26" t="n"/>
      <c r="C48" s="26" t="n"/>
      <c r="D48" s="27" t="inlineStr">
        <is>
          <t>TOTAL SIN IVA</t>
        </is>
      </c>
      <c r="E48" s="28">
        <f>SUM(E28:E47)</f>
        <v/>
      </c>
      <c r="F48" s="26" t="n"/>
      <c r="G48" s="26" t="n"/>
      <c r="H48" s="26" t="n"/>
    </row>
    <row r="49">
      <c r="D49" s="29" t="inlineStr">
        <is>
          <t>VENTAS ENERO</t>
        </is>
      </c>
      <c r="E49" s="30">
        <f>E10+E16+E21+E27+E48</f>
        <v/>
      </c>
    </row>
    <row r="50"/>
    <row r="51" ht="30" customHeight="1">
      <c r="A51" s="24" t="inlineStr">
        <is>
          <t>FEBRERO</t>
        </is>
      </c>
    </row>
    <row r="52" ht="15" customHeight="1">
      <c r="A52" t="inlineStr">
        <is>
          <t>01/02/2026</t>
        </is>
      </c>
      <c r="B52" s="5" t="inlineStr">
        <is>
          <t>Carlos Ramírez - Volkswagen México</t>
        </is>
      </c>
      <c r="C52" s="5" t="inlineStr">
        <is>
          <t>RM-041-120 - 4 KVA - Monofásico - 120 V</t>
        </is>
      </c>
      <c r="D52" s="6" t="n">
        <v>8874</v>
      </c>
      <c r="E52" s="6">
        <f>D52/1.16</f>
        <v/>
      </c>
      <c r="F52" s="25">
        <f>SUM(E52:E52)</f>
        <v/>
      </c>
      <c r="G52" s="8" t="inlineStr">
        <is>
          <t>Semana 1 (06-feb)</t>
        </is>
      </c>
      <c r="H52" t="inlineStr">
        <is>
          <t>Hugo</t>
        </is>
      </c>
      <c r="J52" s="9" t="inlineStr">
        <is>
          <t>FEBRERO</t>
        </is>
      </c>
    </row>
    <row r="53">
      <c r="A53" s="26" t="n"/>
      <c r="B53" s="26" t="n"/>
      <c r="C53" s="26" t="n"/>
      <c r="D53" s="27" t="inlineStr">
        <is>
          <t>TOTAL SIN IVA</t>
        </is>
      </c>
      <c r="E53" s="28">
        <f>SUM(E52:E52)</f>
        <v/>
      </c>
      <c r="F53" s="26" t="n"/>
      <c r="G53" s="26" t="n"/>
      <c r="H53" s="26" t="n"/>
      <c r="J53" s="13" t="inlineStr">
        <is>
          <t>VENDEDOR</t>
        </is>
      </c>
      <c r="K53" s="13" t="inlineStr">
        <is>
          <t>VENTAS</t>
        </is>
      </c>
      <c r="L53" s="13" t="inlineStr">
        <is>
          <t>%</t>
        </is>
      </c>
    </row>
    <row r="54" ht="15" customHeight="1">
      <c r="A54" t="inlineStr">
        <is>
          <t>11/02/2026</t>
        </is>
      </c>
      <c r="B54" s="5" t="inlineStr">
        <is>
          <t>José García - BMW Group</t>
        </is>
      </c>
      <c r="C54" s="5" t="inlineStr">
        <is>
          <t>RM-153-220 - 15 KVA - Trifásico - 220 V</t>
        </is>
      </c>
      <c r="D54" s="6" t="n">
        <v>64960</v>
      </c>
      <c r="E54" s="6">
        <f>D54/1.16</f>
        <v/>
      </c>
      <c r="F54" s="25">
        <f>SUM(E54:E56)</f>
        <v/>
      </c>
      <c r="G54" s="8" t="inlineStr">
        <is>
          <t>Semana 2 (13-feb)</t>
        </is>
      </c>
      <c r="H54" t="inlineStr">
        <is>
          <t>Hugo</t>
        </is>
      </c>
      <c r="J54" s="14" t="inlineStr">
        <is>
          <t>Hugo</t>
        </is>
      </c>
      <c r="K54" s="15" t="n">
        <v>590596.2048000001</v>
      </c>
      <c r="L54" s="16">
        <f>K54/E$79</f>
        <v/>
      </c>
    </row>
    <row r="55" ht="15" customHeight="1">
      <c r="A55" t="inlineStr">
        <is>
          <t>12/02/2026</t>
        </is>
      </c>
      <c r="B55" s="5" t="inlineStr">
        <is>
          <t>Hugo Hernández - Nissan Mexicana</t>
        </is>
      </c>
      <c r="C55" s="5" t="inlineStr">
        <is>
          <t>RM-041-120 - 4 KVA - Monofásico - 120 V</t>
        </is>
      </c>
      <c r="D55" s="6" t="n">
        <v>26622</v>
      </c>
      <c r="E55" s="6">
        <f>D55/1.16</f>
        <v/>
      </c>
      <c r="H55" t="inlineStr">
        <is>
          <t>Hugo</t>
        </is>
      </c>
      <c r="J55" s="14" t="inlineStr">
        <is>
          <t>Marlen</t>
        </is>
      </c>
      <c r="K55" s="15" t="n">
        <v>95889.52799999999</v>
      </c>
      <c r="L55" s="16">
        <f>K55/E$79</f>
        <v/>
      </c>
    </row>
    <row r="56" ht="15" customHeight="1">
      <c r="A56" t="inlineStr">
        <is>
          <t>13/02/2026</t>
        </is>
      </c>
      <c r="B56" s="5" t="inlineStr">
        <is>
          <t>Gabriela Fernández - Ford Motor Company</t>
        </is>
      </c>
      <c r="C56" s="5" t="inlineStr">
        <is>
          <t>RM-101-120 - 10 KVA - Monofásico - 120 V</t>
        </is>
      </c>
      <c r="D56" s="6" t="n">
        <v>34800</v>
      </c>
      <c r="E56" s="6">
        <f>D56/1.16</f>
        <v/>
      </c>
      <c r="H56" t="inlineStr">
        <is>
          <t>Hugo</t>
        </is>
      </c>
      <c r="J56" s="17" t="inlineStr">
        <is>
          <t>Total</t>
        </is>
      </c>
      <c r="K56" s="18">
        <f>E79</f>
        <v/>
      </c>
      <c r="L56" s="19" t="n">
        <v>1</v>
      </c>
    </row>
    <row r="57">
      <c r="A57" s="26" t="n"/>
      <c r="B57" s="26" t="n"/>
      <c r="C57" s="26" t="n"/>
      <c r="D57" s="27" t="inlineStr">
        <is>
          <t>TOTAL SIN IVA</t>
        </is>
      </c>
      <c r="E57" s="28">
        <f>SUM(E54:E56)</f>
        <v/>
      </c>
      <c r="F57" s="26" t="n"/>
      <c r="G57" s="26" t="n"/>
      <c r="H57" s="26" t="n"/>
    </row>
    <row r="58" ht="15" customHeight="1">
      <c r="A58" t="inlineStr">
        <is>
          <t>14/02/2026</t>
        </is>
      </c>
      <c r="B58" s="5" t="inlineStr">
        <is>
          <t>José García - BMW Group</t>
        </is>
      </c>
      <c r="C58" s="5" t="inlineStr">
        <is>
          <t>RM-042-220 - 4 KVA - Bifásico - 220 V</t>
        </is>
      </c>
      <c r="D58" s="6" t="n">
        <v>19209.6</v>
      </c>
      <c r="E58" s="6">
        <f>D58/1.16</f>
        <v/>
      </c>
      <c r="F58" s="25">
        <f>SUM(E58:E61)</f>
        <v/>
      </c>
      <c r="G58" s="8" t="inlineStr">
        <is>
          <t>Semana 3 (20-feb)</t>
        </is>
      </c>
      <c r="H58" t="inlineStr">
        <is>
          <t>Hugo</t>
        </is>
      </c>
    </row>
    <row r="59" ht="15" customHeight="1">
      <c r="A59" t="inlineStr">
        <is>
          <t>16/02/2026</t>
        </is>
      </c>
      <c r="B59" s="5" t="inlineStr">
        <is>
          <t>José García - BMW Group</t>
        </is>
      </c>
      <c r="C59" s="5" t="inlineStr">
        <is>
          <t>RM-042-220 - 4 KVA - Bifásico - 220 V</t>
        </is>
      </c>
      <c r="D59" s="6" t="n">
        <v>32016</v>
      </c>
      <c r="E59" s="6">
        <f>D59/1.16</f>
        <v/>
      </c>
      <c r="H59" t="inlineStr">
        <is>
          <t>Hugo</t>
        </is>
      </c>
    </row>
    <row r="60" ht="15" customHeight="1">
      <c r="A60" t="inlineStr">
        <is>
          <t>18/02/2026</t>
        </is>
      </c>
      <c r="B60" s="5" t="inlineStr">
        <is>
          <t>Miguel Ángel Ruiz - KIA Motors</t>
        </is>
      </c>
      <c r="C60" s="5" t="inlineStr">
        <is>
          <t>RM-041-120 - 4 KVA - Monofásico - 120 V</t>
        </is>
      </c>
      <c r="D60" s="6" t="n">
        <v>29580</v>
      </c>
      <c r="E60" s="6">
        <f>D60/1.16</f>
        <v/>
      </c>
      <c r="H60" t="inlineStr">
        <is>
          <t>Hugo</t>
        </is>
      </c>
    </row>
    <row r="61" ht="15" customHeight="1">
      <c r="A61" t="inlineStr">
        <is>
          <t>20/02/2026</t>
        </is>
      </c>
      <c r="B61" s="5" t="inlineStr">
        <is>
          <t>Carlos Ramírez - Volkswagen México</t>
        </is>
      </c>
      <c r="C61" s="5" t="inlineStr">
        <is>
          <t>RM-153-220 - 15 KVA - Trifásico - 220 V</t>
        </is>
      </c>
      <c r="D61" s="6" t="n">
        <v>64960</v>
      </c>
      <c r="E61" s="6">
        <f>D61/1.16</f>
        <v/>
      </c>
      <c r="H61" t="inlineStr">
        <is>
          <t>Hugo</t>
        </is>
      </c>
    </row>
    <row r="62">
      <c r="A62" s="26" t="n"/>
      <c r="B62" s="26" t="n"/>
      <c r="C62" s="26" t="n"/>
      <c r="D62" s="27" t="inlineStr">
        <is>
          <t>TOTAL SIN IVA</t>
        </is>
      </c>
      <c r="E62" s="28">
        <f>SUM(E58:E61)</f>
        <v/>
      </c>
      <c r="F62" s="26" t="n"/>
      <c r="G62" s="26" t="n"/>
      <c r="H62" s="26" t="n"/>
    </row>
    <row r="63" ht="15" customHeight="1">
      <c r="A63" t="inlineStr">
        <is>
          <t>23/02/2026</t>
        </is>
      </c>
      <c r="B63" s="5" t="inlineStr">
        <is>
          <t>Miguel Ángel Ruiz - KIA Motors</t>
        </is>
      </c>
      <c r="C63" s="5" t="inlineStr">
        <is>
          <t>RM-403-220 - 40 KVA - Trifásico - 220 V</t>
        </is>
      </c>
      <c r="D63" s="6" t="n">
        <v>71920</v>
      </c>
      <c r="E63" s="6">
        <f>D63/1.16</f>
        <v/>
      </c>
      <c r="F63" s="25">
        <f>SUM(E63:E77)</f>
        <v/>
      </c>
      <c r="G63" s="8" t="inlineStr">
        <is>
          <t>Semana 4 (27-feb)</t>
        </is>
      </c>
      <c r="H63" t="inlineStr">
        <is>
          <t>Hugo</t>
        </is>
      </c>
    </row>
    <row r="64" ht="15" customHeight="1">
      <c r="A64" t="inlineStr">
        <is>
          <t>26/02/2026</t>
        </is>
      </c>
      <c r="B64" s="5" t="inlineStr">
        <is>
          <t>José García - BMW Group</t>
        </is>
      </c>
      <c r="C64" s="5" t="inlineStr">
        <is>
          <t>RM-203-220 - 20 KVA - Trifásico - 220 V</t>
        </is>
      </c>
      <c r="D64" s="6" t="n">
        <v>40600</v>
      </c>
      <c r="E64" s="6">
        <f>D64/1.16</f>
        <v/>
      </c>
      <c r="H64" t="inlineStr">
        <is>
          <t>Hugo</t>
        </is>
      </c>
    </row>
    <row r="65" ht="15" customHeight="1">
      <c r="A65" t="inlineStr">
        <is>
          <t>26/02/2026</t>
        </is>
      </c>
      <c r="B65" s="5" t="inlineStr">
        <is>
          <t>Elizabeth - ACURA</t>
        </is>
      </c>
      <c r="C65" s="5" t="inlineStr">
        <is>
          <t>RM-042-220 - 4 KVA - Bifásico - 220 V</t>
        </is>
      </c>
      <c r="D65" s="6" t="n">
        <v>19403.28</v>
      </c>
      <c r="E65" s="6">
        <f>D65/1.16</f>
        <v/>
      </c>
      <c r="H65" t="inlineStr">
        <is>
          <t>Hugo</t>
        </is>
      </c>
    </row>
    <row r="66" ht="15" customHeight="1">
      <c r="A66" t="inlineStr">
        <is>
          <t>26/02/2026</t>
        </is>
      </c>
      <c r="B66" s="5" t="inlineStr">
        <is>
          <t>Elizabeth - ACURA</t>
        </is>
      </c>
      <c r="C66" s="5" t="inlineStr">
        <is>
          <t>RM-042-220 - 4 KVA - Bifásico - 220 V</t>
        </is>
      </c>
      <c r="D66" s="6" t="n">
        <v>18897.12</v>
      </c>
      <c r="E66" s="6">
        <f>D66/1.16</f>
        <v/>
      </c>
      <c r="H66" t="inlineStr">
        <is>
          <t>Hugo</t>
        </is>
      </c>
    </row>
    <row r="67" ht="15" customHeight="1">
      <c r="A67" t="inlineStr">
        <is>
          <t>26/02/2026</t>
        </is>
      </c>
      <c r="B67" s="5" t="inlineStr">
        <is>
          <t>Elizabeth - ACURA</t>
        </is>
      </c>
      <c r="C67" s="5" t="inlineStr">
        <is>
          <t>REGULADOR AUTOMÁTICO DE VOLTAJE INDUSTRIAL ELECTROMECÁNICO AVR - 4 KVA - Bifásico - 220 V</t>
        </is>
      </c>
      <c r="D67" s="6" t="n">
        <v>19572.12</v>
      </c>
      <c r="E67" s="6">
        <f>D67/1.16</f>
        <v/>
      </c>
      <c r="H67" t="inlineStr">
        <is>
          <t>Hugo</t>
        </is>
      </c>
    </row>
    <row r="68" ht="15" customHeight="1">
      <c r="A68" t="inlineStr">
        <is>
          <t>27/02/2026</t>
        </is>
      </c>
      <c r="B68" s="5" t="inlineStr">
        <is>
          <t>Carlos Ramírez - Volkswagen México</t>
        </is>
      </c>
      <c r="C68" s="5" t="inlineStr">
        <is>
          <t>RM-203-220 - 20 KVA - Trifásico - 220 V</t>
        </is>
      </c>
      <c r="D68" s="6" t="n">
        <v>121800</v>
      </c>
      <c r="E68" s="6">
        <f>D68/1.16</f>
        <v/>
      </c>
      <c r="H68" t="inlineStr">
        <is>
          <t>Hugo</t>
        </is>
      </c>
    </row>
    <row r="69" ht="15" customHeight="1">
      <c r="A69" t="inlineStr">
        <is>
          <t>27/02/2026</t>
        </is>
      </c>
      <c r="B69" s="5" t="inlineStr">
        <is>
          <t>Miguel Ángel Ruiz - KIA Motors</t>
        </is>
      </c>
      <c r="C69" s="5" t="inlineStr">
        <is>
          <t>RM-042-220 - 4 KVA - Bifásico - 220 V</t>
        </is>
      </c>
      <c r="D69" s="6" t="n">
        <v>32016</v>
      </c>
      <c r="E69" s="6">
        <f>D69/1.16</f>
        <v/>
      </c>
      <c r="H69" t="inlineStr">
        <is>
          <t>Hugo</t>
        </is>
      </c>
    </row>
    <row r="70" ht="15" customHeight="1">
      <c r="A70" t="inlineStr">
        <is>
          <t>27/02/2026</t>
        </is>
      </c>
      <c r="B70" s="5" t="inlineStr">
        <is>
          <t>Cliente</t>
        </is>
      </c>
      <c r="C70" s="5" t="inlineStr">
        <is>
          <t>REGULADOR AUTOMÁTICO DE VOLTAJE INDUSTRIAL ELECTROMECÁNICO AVR - 4 KVA - Bifásico - 220 V</t>
        </is>
      </c>
      <c r="D70" s="6" t="n">
        <v>19572.12</v>
      </c>
      <c r="E70" s="6">
        <f>D70/1.16</f>
        <v/>
      </c>
      <c r="H70" t="inlineStr">
        <is>
          <t>Hugo</t>
        </is>
      </c>
    </row>
    <row r="71" ht="15" customHeight="1">
      <c r="A71" t="inlineStr">
        <is>
          <t>27/02/2026</t>
        </is>
      </c>
      <c r="B71" s="5" t="inlineStr">
        <is>
          <t>Cliente</t>
        </is>
      </c>
      <c r="C71" s="5" t="inlineStr">
        <is>
          <t>REGULADOR AUTOMÁTICO DE VOLTAJE INDUSTRIAL ELECTROMECÁNICO AVR - 4 KVA - Bifásico - 220 V</t>
        </is>
      </c>
      <c r="D71" s="6" t="n">
        <v>19572.12</v>
      </c>
      <c r="E71" s="6">
        <f>D71/1.16</f>
        <v/>
      </c>
      <c r="H71" t="inlineStr">
        <is>
          <t>Hugo</t>
        </is>
      </c>
    </row>
    <row r="72" ht="15" customHeight="1">
      <c r="A72" t="inlineStr">
        <is>
          <t>27/02/2026</t>
        </is>
      </c>
      <c r="B72" s="5" t="inlineStr">
        <is>
          <t>Hugo Hernandez - Nissan</t>
        </is>
      </c>
      <c r="C72" s="5" t="inlineStr">
        <is>
          <t>REGULADOR AUTOMÁTICO DE VOLTAJE INDUSTRIAL ELECTROMECÁNICO AVR - 4 KVA - Monofásico - 120 V</t>
        </is>
      </c>
      <c r="D72" s="6" t="n">
        <v>19572.12</v>
      </c>
      <c r="E72" s="6">
        <f>D72/1.16</f>
        <v/>
      </c>
      <c r="H72" t="inlineStr">
        <is>
          <t>Hugo</t>
        </is>
      </c>
    </row>
    <row r="73" ht="15" customHeight="1">
      <c r="A73" t="inlineStr">
        <is>
          <t>27/02/2026</t>
        </is>
      </c>
      <c r="B73" s="5" t="inlineStr">
        <is>
          <t>Hugo Hernandez - Nissan</t>
        </is>
      </c>
      <c r="C73" s="5" t="inlineStr">
        <is>
          <t>REGULADOR AUTOMÁTICO DE VOLTAJE INDUSTRIAL ELECTROMECÁNICO AVR - 4 KVA - Monofásico - 120 V</t>
        </is>
      </c>
      <c r="D73" s="6" t="n">
        <v>19572.12</v>
      </c>
      <c r="E73" s="6">
        <f>D73/1.16</f>
        <v/>
      </c>
      <c r="H73" t="inlineStr">
        <is>
          <t>Hugo</t>
        </is>
      </c>
    </row>
    <row r="74" ht="15" customHeight="1">
      <c r="A74" t="inlineStr">
        <is>
          <t>27/02/2026</t>
        </is>
      </c>
      <c r="B74" s="5" t="inlineStr">
        <is>
          <t>Elizabeth - ACURA</t>
        </is>
      </c>
      <c r="C74" s="5" t="inlineStr">
        <is>
          <t>RM-042-220 - 4 KVA - Bifásico - 220 V</t>
        </is>
      </c>
      <c r="D74" s="6" t="n">
        <v>19572.12</v>
      </c>
      <c r="E74" s="6">
        <f>D74/1.16</f>
        <v/>
      </c>
      <c r="H74" t="inlineStr">
        <is>
          <t>Hugo</t>
        </is>
      </c>
    </row>
    <row r="75" ht="15" customHeight="1">
      <c r="A75" t="inlineStr">
        <is>
          <t>27/02/2026</t>
        </is>
      </c>
      <c r="B75" s="5" t="inlineStr">
        <is>
          <t>Hugo Hernandez - Nissan</t>
        </is>
      </c>
      <c r="C75" s="5" t="inlineStr">
        <is>
          <t>RM-042N-220 - 4 KVA - Bifásico - 220 V</t>
        </is>
      </c>
      <c r="D75" s="6" t="n">
        <v>47291.04</v>
      </c>
      <c r="E75" s="6">
        <f>D75/1.16</f>
        <v/>
      </c>
      <c r="H75" t="inlineStr">
        <is>
          <t>Marlen</t>
        </is>
      </c>
    </row>
    <row r="76" ht="15" customHeight="1">
      <c r="A76" t="inlineStr">
        <is>
          <t>27/02/2026</t>
        </is>
      </c>
      <c r="B76" s="5" t="inlineStr">
        <is>
          <t>Elizabeth - ACURA</t>
        </is>
      </c>
      <c r="C76" s="5" t="inlineStr">
        <is>
          <t>RM-052-220 - 5 KVA - Bifásico - 220 V</t>
        </is>
      </c>
      <c r="D76" s="6" t="n">
        <v>19572.12</v>
      </c>
      <c r="E76" s="6">
        <f>D76/1.16</f>
        <v/>
      </c>
      <c r="H76" t="inlineStr">
        <is>
          <t>Marlen</t>
        </is>
      </c>
    </row>
    <row r="77" ht="15" customHeight="1">
      <c r="A77" t="inlineStr">
        <is>
          <t>27/02/2026</t>
        </is>
      </c>
      <c r="B77" s="5" t="inlineStr">
        <is>
          <t>Hugo Hernandez - Nissan</t>
        </is>
      </c>
      <c r="C77" s="5" t="inlineStr">
        <is>
          <t>RM-053-480 - 5 KVA - Trifásico - 480 V</t>
        </is>
      </c>
      <c r="D77" s="6" t="n">
        <v>47291.04</v>
      </c>
      <c r="E77" s="6">
        <f>D77/1.16</f>
        <v/>
      </c>
      <c r="H77" t="inlineStr">
        <is>
          <t>Marlen</t>
        </is>
      </c>
    </row>
    <row r="78">
      <c r="A78" s="26" t="n"/>
      <c r="B78" s="26" t="n"/>
      <c r="C78" s="26" t="n"/>
      <c r="D78" s="27" t="inlineStr">
        <is>
          <t>TOTAL SIN IVA</t>
        </is>
      </c>
      <c r="E78" s="28">
        <f>SUM(E63:E77)</f>
        <v/>
      </c>
      <c r="F78" s="26" t="n"/>
      <c r="G78" s="26" t="n"/>
      <c r="H78" s="26" t="n"/>
    </row>
    <row r="79">
      <c r="D79" s="29" t="inlineStr">
        <is>
          <t>VENTAS FEBRERO</t>
        </is>
      </c>
      <c r="E79" s="30">
        <f>E53+E57+E62+E78</f>
        <v/>
      </c>
    </row>
  </sheetData>
  <mergeCells count="30">
    <mergeCell ref="G28:G47"/>
    <mergeCell ref="G54:G56"/>
    <mergeCell ref="F9"/>
    <mergeCell ref="G17:G20"/>
    <mergeCell ref="A51:H51"/>
    <mergeCell ref="F52"/>
    <mergeCell ref="F63:F77"/>
    <mergeCell ref="F22:F26"/>
    <mergeCell ref="F5:F6"/>
    <mergeCell ref="G9"/>
    <mergeCell ref="F17:F20"/>
    <mergeCell ref="G52"/>
    <mergeCell ref="F28:F47"/>
    <mergeCell ref="G22:G26"/>
    <mergeCell ref="A5:A6"/>
    <mergeCell ref="G5:G6"/>
    <mergeCell ref="A2:H2"/>
    <mergeCell ref="F11:F15"/>
    <mergeCell ref="F54:F56"/>
    <mergeCell ref="J52:L52"/>
    <mergeCell ref="G11:G15"/>
    <mergeCell ref="G58:G61"/>
    <mergeCell ref="A8:H8"/>
    <mergeCell ref="B5:B6"/>
    <mergeCell ref="G63:G77"/>
    <mergeCell ref="F58:F61"/>
    <mergeCell ref="H5:H6"/>
    <mergeCell ref="D5:E5"/>
    <mergeCell ref="J9:L9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8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</cols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31" t="inlineStr">
        <is>
          <t>Comisions Mensual Equipo de Comercializa 2026</t>
        </is>
      </c>
    </row>
    <row r="2">
      <c r="A2" s="32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2026-03-01T04:24:59Z</dcterms:created>
  <dcterms:modified xsi:type="dcterms:W3CDTF">2026-03-01T04:24:59Z</dcterms:modified>
</cp:coreProperties>
</file>