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SUMIF(H8:H30,J10,E8:E30)</f>
        <v/>
      </c>
      <c r="L10" s="14">
        <f>K10/E$31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SUMIF(H8:H30,J11,E8:E30)</f>
        <v/>
      </c>
      <c r="L11" s="14">
        <f>K11/E$31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E31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SUM(E19:E29)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 -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 -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 - 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Regulador - RM-042-220 - 4 KVA - Bifásico + UPS - UPS-1000VA - 1000VA</t>
        </is>
      </c>
      <c r="D25" s="6" t="n">
        <v>28968.12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Roman - OFFICE DEPOT</t>
        </is>
      </c>
      <c r="C26" s="5" t="inlineStr">
        <is>
          <t>Anticipo - Regulador - RM-042-220 - 4 KVA - Bifásico + UPS - UPS-1000VA - 1000VA</t>
        </is>
      </c>
      <c r="D26" s="6" t="n">
        <v>14484.06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Roman - OFFICE DEPOT</t>
        </is>
      </c>
      <c r="C27" s="5" t="inlineStr">
        <is>
          <t>Saldo - Regulador - RM-042-220 - 4 KVA - Bifásico + UPS - UPS-1000VA - 1000VA</t>
        </is>
      </c>
      <c r="D27" s="6" t="n">
        <v>14484.06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11/03/2026</t>
        </is>
      </c>
      <c r="B28" s="5" t="inlineStr">
        <is>
          <t>Emiliano Castro - ACME</t>
        </is>
      </c>
      <c r="C28" s="5" t="inlineStr">
        <is>
          <t>Anticipo - Regulador - RM-042N-220 - 4 KVA - Bifásico + UPS - UPS-1000VA - 1000VA</t>
        </is>
      </c>
      <c r="D28" s="6" t="n">
        <v>28343.52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11/03/2026</t>
        </is>
      </c>
      <c r="B29" s="5" t="inlineStr">
        <is>
          <t>Emiliano Castro - ACME</t>
        </is>
      </c>
      <c r="C29" s="5" t="inlineStr">
        <is>
          <t>Saldo - Regulador - RM-042N-220 - 4 KVA - Bifásico + UPS - UPS-1000VA - 1000VA</t>
        </is>
      </c>
      <c r="D29" s="6" t="n">
        <v>28343.52</v>
      </c>
      <c r="E29" s="6">
        <f>D29/1.16</f>
        <v/>
      </c>
      <c r="H29" t="inlineStr">
        <is>
          <t>Hugo</t>
        </is>
      </c>
    </row>
    <row r="30">
      <c r="A30" s="22" t="n"/>
      <c r="B30" s="22" t="n"/>
      <c r="C30" s="22" t="n"/>
      <c r="D30" s="23" t="inlineStr">
        <is>
          <t>TOTAL SIN IVA</t>
        </is>
      </c>
      <c r="E30" s="24">
        <f>SUM(E19:E29)</f>
        <v/>
      </c>
      <c r="F30" s="22" t="n"/>
      <c r="G30" s="22" t="n"/>
      <c r="H30" s="22" t="n"/>
    </row>
    <row r="31">
      <c r="D31" s="27" t="inlineStr">
        <is>
          <t>VENTAS MARZO</t>
        </is>
      </c>
      <c r="E31" s="28">
        <f>E18+E30</f>
        <v/>
      </c>
    </row>
  </sheetData>
  <mergeCells count="14">
    <mergeCell ref="A5:A6"/>
    <mergeCell ref="G5:G6"/>
    <mergeCell ref="F8:F17"/>
    <mergeCell ref="F19:F29"/>
    <mergeCell ref="H5:H6"/>
    <mergeCell ref="A7:H7"/>
    <mergeCell ref="A2:H2"/>
    <mergeCell ref="D5:E5"/>
    <mergeCell ref="G8:G17"/>
    <mergeCell ref="J8:L8"/>
    <mergeCell ref="G19:G29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41668.2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41668.2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E28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42192.19328686827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136207.625949565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17772.48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83336.40000000001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41668.2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8886.24</v>
      </c>
      <c r="E17" s="6">
        <f>D17/1.16</f>
        <v/>
      </c>
      <c r="F17" s="42">
        <f>SUM(E17:E26)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35544.96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</t>
        </is>
      </c>
      <c r="D20" s="6" t="n">
        <v>41668.2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</t>
        </is>
      </c>
      <c r="D21" s="6" t="n">
        <v>41668.2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11/03/2026</t>
        </is>
      </c>
      <c r="B22" s="5" t="inlineStr">
        <is>
          <t>Emiliano Castro - ACME</t>
        </is>
      </c>
      <c r="C22" s="5" t="inlineStr">
        <is>
          <t>Regulador - RM-042-220 - 4 KVA - Bifásico</t>
        </is>
      </c>
      <c r="D22" s="6" t="n">
        <v>17772.48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11/03/2026</t>
        </is>
      </c>
      <c r="B23" s="5" t="inlineStr">
        <is>
          <t>Roman - OFFICE DEPOT</t>
        </is>
      </c>
      <c r="C23" s="5" t="inlineStr">
        <is>
          <t>Anticipo - Regulador - RM-042-220 - 4 KVA - Bifásico</t>
        </is>
      </c>
      <c r="D23" s="6" t="n">
        <v>8886.24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11/03/2026</t>
        </is>
      </c>
      <c r="B24" s="5" t="inlineStr">
        <is>
          <t>Roman - OFFICE DEPOT</t>
        </is>
      </c>
      <c r="C24" s="5" t="inlineStr">
        <is>
          <t>Saldo - Regulador - RM-042-220 - 4 KVA - Bifásico</t>
        </is>
      </c>
      <c r="D24" s="6" t="n">
        <v>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Anticipo - Regulador - RM-042N-220 - 4 KVA - Bifásico</t>
        </is>
      </c>
      <c r="D25" s="6" t="n">
        <v>20834.1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Emiliano Castro - ACME</t>
        </is>
      </c>
      <c r="C26" s="5" t="inlineStr">
        <is>
          <t>Saldo - Regulador - RM-042N-220 - 4 KVA - Bifásico</t>
        </is>
      </c>
      <c r="D26" s="6" t="n">
        <v>2314.9</v>
      </c>
      <c r="E26" s="6">
        <f>D26/1.16</f>
        <v/>
      </c>
      <c r="H26" t="inlineStr">
        <is>
          <t>Hugo</t>
        </is>
      </c>
    </row>
    <row r="27">
      <c r="A27" s="39" t="n"/>
      <c r="B27" s="39" t="n"/>
      <c r="C27" s="39" t="n"/>
      <c r="D27" s="40" t="inlineStr">
        <is>
          <t>TOTAL SIN IVA</t>
        </is>
      </c>
      <c r="E27" s="41">
        <f>SUM(E17:E26)</f>
        <v/>
      </c>
      <c r="F27" s="39" t="n"/>
      <c r="G27" s="39" t="n"/>
      <c r="H27" s="39" t="n"/>
    </row>
    <row r="28">
      <c r="D28" s="27" t="inlineStr">
        <is>
          <t>VENTAS MARZO</t>
        </is>
      </c>
      <c r="E28" s="28">
        <f>E16+E27</f>
        <v/>
      </c>
    </row>
  </sheetData>
  <mergeCells count="16">
    <mergeCell ref="A5:A6"/>
    <mergeCell ref="G5:G6"/>
    <mergeCell ref="G9:G15"/>
    <mergeCell ref="A3:H3"/>
    <mergeCell ref="H5:H6"/>
    <mergeCell ref="G17:G26"/>
    <mergeCell ref="F9:F15"/>
    <mergeCell ref="F17:F26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8100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 - UPS-1000VA - 1000VA</t>
        </is>
      </c>
      <c r="D8" s="50" t="n">
        <v>8099.999999999999</v>
      </c>
      <c r="E8" s="50">
        <f>D8/1.16</f>
        <v/>
      </c>
      <c r="F8" s="50" t="n">
        <v>5000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 - UPS-1000VA - 1000VA</t>
        </is>
      </c>
      <c r="D9" s="50" t="n">
        <v>8099.999999999999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 - UPS-1000VA - 1000VA</t>
        </is>
      </c>
      <c r="D10" s="50" t="n">
        <v>8100</v>
      </c>
      <c r="E10" s="50">
        <f>D10/1.16</f>
        <v/>
      </c>
      <c r="F10" s="50" t="n">
        <v>5000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48" t="inlineStr">
        <is>
          <t>11/03/2026</t>
        </is>
      </c>
      <c r="B11" s="49" t="inlineStr">
        <is>
          <t>Emiliano Castro - ACME</t>
        </is>
      </c>
      <c r="C11" s="49" t="inlineStr">
        <is>
          <t>UPS - UPS-1000VA - 1000VA</t>
        </is>
      </c>
      <c r="D11" s="50" t="n">
        <v>8100</v>
      </c>
      <c r="E11" s="50">
        <f>D11/1.16</f>
        <v/>
      </c>
      <c r="F11" s="50" t="n">
        <v>6000</v>
      </c>
      <c r="G11" s="50">
        <f>F11/1.16</f>
        <v/>
      </c>
      <c r="H11" s="50">
        <f>E11-G11</f>
        <v/>
      </c>
      <c r="I11" s="50">
        <f>H11*0.05</f>
        <v/>
      </c>
      <c r="J11" s="10" t="n"/>
    </row>
    <row r="12">
      <c r="A12" s="48" t="inlineStr">
        <is>
          <t>11/03/2026</t>
        </is>
      </c>
      <c r="B12" s="49" t="inlineStr">
        <is>
          <t>Roman - OFFICE DEPOT</t>
        </is>
      </c>
      <c r="C12" s="49" t="inlineStr">
        <is>
          <t>Anticipo - UPS - UPS-1000VA - 1000VA</t>
        </is>
      </c>
      <c r="D12" s="50" t="n">
        <v>4050</v>
      </c>
      <c r="E12" s="50">
        <f>D12/1.16</f>
        <v/>
      </c>
      <c r="F12" s="50" t="n">
        <v>4500</v>
      </c>
      <c r="G12" s="50">
        <f>F12/1.16</f>
        <v/>
      </c>
      <c r="H12" s="50">
        <f>E12-G12</f>
        <v/>
      </c>
      <c r="I12" s="50">
        <f>H12*0.05</f>
        <v/>
      </c>
      <c r="J12" s="10" t="n"/>
    </row>
    <row r="13">
      <c r="A13" s="48" t="inlineStr">
        <is>
          <t>11/03/2026</t>
        </is>
      </c>
      <c r="B13" s="49" t="inlineStr">
        <is>
          <t>Roman - OFFICE DEPOT</t>
        </is>
      </c>
      <c r="C13" s="49" t="inlineStr">
        <is>
          <t>Saldo - UPS - UPS-1000VA - 1000VA</t>
        </is>
      </c>
      <c r="D13" s="50" t="n">
        <v>0</v>
      </c>
      <c r="E13" s="50">
        <f>D13/1.16</f>
        <v/>
      </c>
      <c r="F13" s="50" t="n">
        <v>4500</v>
      </c>
      <c r="G13" s="50">
        <f>F13/1.16</f>
        <v/>
      </c>
      <c r="H13" s="50">
        <f>E13-G13</f>
        <v/>
      </c>
      <c r="I13" s="50">
        <f>H13*0.05</f>
        <v/>
      </c>
      <c r="J13" s="10" t="n"/>
    </row>
    <row r="14">
      <c r="A14" s="48" t="inlineStr">
        <is>
          <t>11/03/2026</t>
        </is>
      </c>
      <c r="B14" s="49" t="inlineStr">
        <is>
          <t>Emiliano Castro - ACME</t>
        </is>
      </c>
      <c r="C14" s="49" t="inlineStr">
        <is>
          <t>Anticipo - UPS - UPS-1000VA - 1000VA</t>
        </is>
      </c>
      <c r="D14" s="50" t="n">
        <v>4050</v>
      </c>
      <c r="E14" s="50">
        <f>D14/1.16</f>
        <v/>
      </c>
      <c r="F14" s="50" t="n">
        <v>4500</v>
      </c>
      <c r="G14" s="50">
        <f>F14/1.16</f>
        <v/>
      </c>
      <c r="H14" s="50">
        <f>E14-G14</f>
        <v/>
      </c>
      <c r="I14" s="50">
        <f>H14*0.05</f>
        <v/>
      </c>
      <c r="J14" s="10" t="n"/>
    </row>
    <row r="15">
      <c r="A15" s="48" t="inlineStr">
        <is>
          <t>11/03/2026</t>
        </is>
      </c>
      <c r="B15" s="49" t="inlineStr">
        <is>
          <t>Emiliano Castro - ACME</t>
        </is>
      </c>
      <c r="C15" s="49" t="inlineStr">
        <is>
          <t>Saldo - UPS - UPS-1000VA - 1000VA</t>
        </is>
      </c>
      <c r="D15" s="50" t="n">
        <v>450</v>
      </c>
      <c r="E15" s="50">
        <f>D15/1.16</f>
        <v/>
      </c>
      <c r="F15" s="50" t="n">
        <v>4500</v>
      </c>
      <c r="G15" s="50">
        <f>F15/1.16</f>
        <v/>
      </c>
      <c r="H15" s="50">
        <f>E15-G15</f>
        <v/>
      </c>
      <c r="I15" s="50">
        <f>H15*0.05</f>
        <v/>
      </c>
      <c r="J15" s="10" t="n"/>
    </row>
    <row r="16">
      <c r="A16" s="52" t="n"/>
      <c r="B16" s="52" t="n"/>
      <c r="C16" s="52" t="n"/>
      <c r="D16" s="52" t="n"/>
      <c r="E16" s="52" t="n"/>
      <c r="F16" s="52" t="n"/>
      <c r="G16" s="52" t="n"/>
      <c r="H16" s="53" t="inlineStr">
        <is>
          <t>TOTAL</t>
        </is>
      </c>
      <c r="I16" s="54">
        <f>SUM(I7:I15)</f>
        <v/>
      </c>
      <c r="J16" s="21" t="n"/>
    </row>
    <row r="17">
      <c r="A17" s="55" t="inlineStr">
        <is>
          <t>04/03/2026</t>
        </is>
      </c>
      <c r="B17" s="56" t="inlineStr">
        <is>
          <t>Roman - OFFICE DEPOT</t>
        </is>
      </c>
      <c r="C17" s="56" t="inlineStr">
        <is>
          <t>UPS-1000VA - 1000VA</t>
        </is>
      </c>
      <c r="D17" s="57" t="n">
        <v>8100</v>
      </c>
      <c r="E17" s="57">
        <f>D17/1.16</f>
        <v/>
      </c>
      <c r="F17" s="57" t="n">
        <v>0</v>
      </c>
      <c r="G17" s="57">
        <f>F17/1.16</f>
        <v/>
      </c>
      <c r="H17" s="57">
        <f>E17-G17</f>
        <v/>
      </c>
      <c r="I17" s="57">
        <f>H17*0.1</f>
        <v/>
      </c>
      <c r="J17" s="58" t="inlineStr">
        <is>
          <t>Marlen</t>
        </is>
      </c>
    </row>
    <row r="18">
      <c r="A18" s="59" t="n"/>
      <c r="B18" s="59" t="n"/>
      <c r="C18" s="59" t="n"/>
      <c r="D18" s="59" t="n"/>
      <c r="E18" s="59" t="n"/>
      <c r="F18" s="59" t="n"/>
      <c r="G18" s="59" t="n"/>
      <c r="H18" s="60" t="inlineStr">
        <is>
          <t>TOTAL</t>
        </is>
      </c>
      <c r="I18" s="61">
        <f>SUM(I17:I17)</f>
        <v/>
      </c>
      <c r="J18" s="21" t="n"/>
    </row>
  </sheetData>
  <mergeCells count="13">
    <mergeCell ref="A5:A6"/>
    <mergeCell ref="A1:J1"/>
    <mergeCell ref="H5:H6"/>
    <mergeCell ref="J5:J6"/>
    <mergeCell ref="J17:J18"/>
    <mergeCell ref="F5:G5"/>
    <mergeCell ref="D5:E5"/>
    <mergeCell ref="J7:J16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2026-03-12T03:01:56Z</dcterms:created>
  <dcterms:modified xsi:type="dcterms:W3CDTF">2026-03-12T03:01:56Z</dcterms:modified>
</cp:coreProperties>
</file>