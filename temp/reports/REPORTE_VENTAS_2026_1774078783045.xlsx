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SUM(E8:E18)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SUMIF(H8:H55,J10,E8:E55)</f>
        <v/>
      </c>
      <c r="L10" s="13">
        <f>K10/E$56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E56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11/03/2026</t>
        </is>
      </c>
      <c r="B15" s="5" t="inlineStr">
        <is>
          <t>Emiliano Castro - ACME</t>
        </is>
      </c>
      <c r="C15" s="5" t="inlineStr">
        <is>
          <t>Regulador - RM-042N-220 - 4 KVA - Bifásico</t>
        </is>
      </c>
      <c r="D15" s="6" t="n">
        <v>47291.04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Elizabeth - ACURA</t>
        </is>
      </c>
      <c r="C16" s="5" t="inlineStr">
        <is>
          <t>Regulador - RM-042N-220 - 4 KVA - Bifásico + UPS - UPS-1000VA - 1000VA</t>
        </is>
      </c>
      <c r="D16" s="6" t="n">
        <v>56687.04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12/03/2026</t>
        </is>
      </c>
      <c r="B17" s="5" t="inlineStr">
        <is>
          <t>Elizabeth - ACURA</t>
        </is>
      </c>
      <c r="C17" s="5" t="inlineStr">
        <is>
          <t>Anticipo - Regulador - RM-042N-220 - 4 KVA - Bifásico</t>
        </is>
      </c>
      <c r="D17" s="6" t="n">
        <v>23645.52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Saldo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 ht="15" customHeight="1">
      <c r="A20" t="inlineStr">
        <is>
          <t>18/03/2026</t>
        </is>
      </c>
      <c r="B20" s="5" t="inlineStr">
        <is>
          <t>Emiliano Castro - ACME</t>
        </is>
      </c>
      <c r="C20" s="5" t="inlineStr">
        <is>
          <t>Regulador - RM-042N-220 - 4 KVA - Bifásico + UPS - UPS-1000VA - 1000VA</t>
        </is>
      </c>
      <c r="D20" s="6" t="n">
        <v>56687.04</v>
      </c>
      <c r="E20" s="6">
        <f>D20/1.16</f>
        <v/>
      </c>
      <c r="F20" s="7">
        <f>SUM(E20:E46)</f>
        <v/>
      </c>
      <c r="G20" s="8" t="inlineStr">
        <is>
          <t>Semana 3 (20-mar)</t>
        </is>
      </c>
      <c r="H20" t="inlineStr">
        <is>
          <t>Hugo</t>
        </is>
      </c>
    </row>
    <row r="21" ht="15" customHeight="1">
      <c r="A21" t="inlineStr">
        <is>
          <t>18/03/2026</t>
        </is>
      </c>
      <c r="B21" s="5" t="inlineStr">
        <is>
          <t>Elizabeth - ACURA</t>
        </is>
      </c>
      <c r="C21" s="5" t="inlineStr">
        <is>
          <t>Regulador - RM-042N-220 - 4 KVA - Bifásico</t>
        </is>
      </c>
      <c r="D21" s="6" t="n">
        <v>47291.04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18/03/2026</t>
        </is>
      </c>
      <c r="B22" s="5" t="inlineStr">
        <is>
          <t>Roman - OFFICE DEPOT</t>
        </is>
      </c>
      <c r="C22" s="5" t="inlineStr">
        <is>
          <t>Regulador - RM-042N-220 - 4 KVA - Bifásico</t>
        </is>
      </c>
      <c r="D22" s="6" t="n">
        <v>47291.04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18/03/2026</t>
        </is>
      </c>
      <c r="B23" s="5" t="inlineStr">
        <is>
          <t>Roman - OFFICE DEPOT</t>
        </is>
      </c>
      <c r="C23" s="5" t="inlineStr">
        <is>
          <t>Regulador - RM-042N-220 - 4 KVA - Bifásico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18/03/2026</t>
        </is>
      </c>
      <c r="B24" s="5" t="inlineStr">
        <is>
          <t>Roman - OFFICE DEPOT</t>
        </is>
      </c>
      <c r="C24" s="5" t="inlineStr">
        <is>
          <t>Regulador - RM-042N-220 - 4 KVA - Bifásico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18/03/2026</t>
        </is>
      </c>
      <c r="B25" s="5" t="inlineStr">
        <is>
          <t>Roman - OFFICE DEPOT</t>
        </is>
      </c>
      <c r="C25" s="5" t="inlineStr">
        <is>
          <t>Regulador - RM-042N-220 - 4 KVA - Bifásico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18/03/2026</t>
        </is>
      </c>
      <c r="B26" s="5" t="inlineStr">
        <is>
          <t>Elizabeth - ACURA</t>
        </is>
      </c>
      <c r="C26" s="5" t="inlineStr">
        <is>
          <t>Regulador - RM-042N-220 - 4 KVA - Bifásico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18/03/2026</t>
        </is>
      </c>
      <c r="B27" s="5" t="inlineStr">
        <is>
          <t>Roman - OFFICE DEPOT</t>
        </is>
      </c>
      <c r="C27" s="5" t="inlineStr">
        <is>
          <t>Regulador - RM-042N-220 - 4 KVA - Bifásico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18/03/2026</t>
        </is>
      </c>
      <c r="B28" s="5" t="inlineStr">
        <is>
          <t>Elizabeth - ACURA</t>
        </is>
      </c>
      <c r="C28" s="5" t="inlineStr">
        <is>
          <t>Regulador - RM-042N-220 - 4 KVA - Bifásico</t>
        </is>
      </c>
      <c r="D28" s="6" t="n">
        <v>47291.04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18/03/2026</t>
        </is>
      </c>
      <c r="B29" s="5" t="inlineStr">
        <is>
          <t>Elizabeth - ACURA</t>
        </is>
      </c>
      <c r="C29" s="5" t="inlineStr">
        <is>
          <t>Regulador - RM-042N-220 - 4 KVA - Bifásico</t>
        </is>
      </c>
      <c r="D29" s="6" t="n">
        <v>47291.04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18/03/2026</t>
        </is>
      </c>
      <c r="B30" s="5" t="inlineStr">
        <is>
          <t>Roman - OFFICE DEPOT</t>
        </is>
      </c>
      <c r="C30" s="5" t="inlineStr">
        <is>
          <t>Regulador - RM-042N-220 - 4 KVA - Bifásico</t>
        </is>
      </c>
      <c r="D30" s="6" t="n">
        <v>47291.04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18/03/2026</t>
        </is>
      </c>
      <c r="B31" s="5" t="inlineStr">
        <is>
          <t>Emiliano Castro - ACME</t>
        </is>
      </c>
      <c r="C31" s="5" t="inlineStr">
        <is>
          <t>Regulador - RM-042N-220 - 4 KVA - Bifásico</t>
        </is>
      </c>
      <c r="D31" s="6" t="n">
        <v>47291.04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18/03/2026</t>
        </is>
      </c>
      <c r="B32" s="5" t="inlineStr">
        <is>
          <t>Emiliano Castro - ACME</t>
        </is>
      </c>
      <c r="C32" s="5" t="inlineStr">
        <is>
          <t>Regulador - RM-042N-220 - 4 KVA - Bifásico</t>
        </is>
      </c>
      <c r="D32" s="6" t="n">
        <v>47291.04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18/03/2026</t>
        </is>
      </c>
      <c r="B33" s="5" t="inlineStr">
        <is>
          <t>Emiliano Castro - ACME</t>
        </is>
      </c>
      <c r="C33" s="5" t="inlineStr">
        <is>
          <t>Regulador - RM-453-220 - 45 KVA - Trifásico</t>
        </is>
      </c>
      <c r="D33" s="6" t="n">
        <v>139583.34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18/03/2026</t>
        </is>
      </c>
      <c r="B34" s="5" t="inlineStr">
        <is>
          <t>Emiliano Castro - ACME</t>
        </is>
      </c>
      <c r="C34" s="5" t="inlineStr">
        <is>
          <t>Regulador - RM-453-220 - 45 KVA - Trifásico</t>
        </is>
      </c>
      <c r="D34" s="6" t="n">
        <v>139583.34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18/03/2026</t>
        </is>
      </c>
      <c r="B35" s="5" t="inlineStr">
        <is>
          <t>Roman - OFFICE DEPOT</t>
        </is>
      </c>
      <c r="C35" s="5" t="inlineStr">
        <is>
          <t>Regulador - RM-042N-220 - 4 KVA - Bifásico</t>
        </is>
      </c>
      <c r="D35" s="6" t="n">
        <v>47291.04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18/03/2026</t>
        </is>
      </c>
      <c r="B36" s="5" t="inlineStr">
        <is>
          <t>Emiliano Castro - ACME</t>
        </is>
      </c>
      <c r="C36" s="5" t="inlineStr">
        <is>
          <t>Regulador - RM-453-220 - 45 KVA - Trifásico</t>
        </is>
      </c>
      <c r="D36" s="6" t="n">
        <v>139583.34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18/03/2026</t>
        </is>
      </c>
      <c r="B37" s="5" t="inlineStr">
        <is>
          <t>Emiliano Castro - ACME</t>
        </is>
      </c>
      <c r="C37" s="5" t="inlineStr">
        <is>
          <t>Regulador - RM-453-220 - 45 KVA - Trifásico</t>
        </is>
      </c>
      <c r="D37" s="6" t="n">
        <v>139583.34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19/03/2026</t>
        </is>
      </c>
      <c r="B38" s="5" t="inlineStr">
        <is>
          <t>Emiliano Castro - ACME</t>
        </is>
      </c>
      <c r="C38" s="5" t="inlineStr">
        <is>
          <t>Regulador - RM-042N-220 - 4 KVA - Bifásico</t>
        </is>
      </c>
      <c r="D38" s="6" t="n">
        <v>47291.04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19/03/2026</t>
        </is>
      </c>
      <c r="B39" s="5" t="inlineStr">
        <is>
          <t>Emiliano Castro - ACME</t>
        </is>
      </c>
      <c r="C39" s="5" t="inlineStr">
        <is>
          <t>Regulador - RM-042N-220 - 4 KVA - Bifásico</t>
        </is>
      </c>
      <c r="D39" s="6" t="n">
        <v>47291.04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19/03/2026</t>
        </is>
      </c>
      <c r="B40" s="5" t="inlineStr">
        <is>
          <t>Roman - OFFICE DEPOT</t>
        </is>
      </c>
      <c r="C40" s="5" t="inlineStr">
        <is>
          <t>Regulador - RM-042N-220 - 4 KVA - Bifásico</t>
        </is>
      </c>
      <c r="D40" s="6" t="n">
        <v>47291.04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20/03/2026</t>
        </is>
      </c>
      <c r="B41" s="5" t="inlineStr">
        <is>
          <t>Roman - OFFICE DEPOT</t>
        </is>
      </c>
      <c r="C41" s="5" t="inlineStr">
        <is>
          <t>Regulador - RM-453-220 - 45 KVA - Trifásico</t>
        </is>
      </c>
      <c r="D41" s="6" t="n">
        <v>139583.34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20/03/2026</t>
        </is>
      </c>
      <c r="B42" s="5" t="inlineStr">
        <is>
          <t>Roman - OFFICE DEPOT</t>
        </is>
      </c>
      <c r="C42" s="5" t="inlineStr">
        <is>
          <t>Regulador - RM-453-220 - 45 KVA - Trifásico</t>
        </is>
      </c>
      <c r="D42" s="6" t="n">
        <v>139583.34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20/03/2026</t>
        </is>
      </c>
      <c r="B43" s="5" t="inlineStr">
        <is>
          <t>Emiliano Castro - ACME</t>
        </is>
      </c>
      <c r="C43" s="5" t="inlineStr">
        <is>
          <t>Regulador - RM-041-127 - 4 KVA - Monofásico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20/03/2026</t>
        </is>
      </c>
      <c r="B44" s="5" t="inlineStr">
        <is>
          <t>Roman - OFFICE DEPOT</t>
        </is>
      </c>
      <c r="C44" s="5" t="inlineStr">
        <is>
          <t>Regulador - RM-042N-220 - 4 KVA - Bifásico + UPS - UPS-1000VA - 1000VA</t>
        </is>
      </c>
      <c r="D44" s="6" t="n">
        <v>56687.04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20/03/2026</t>
        </is>
      </c>
      <c r="B45" s="5" t="inlineStr">
        <is>
          <t>Emiliano Castro - ACME</t>
        </is>
      </c>
      <c r="C45" s="5" t="inlineStr">
        <is>
          <t>Regulador - RM-042N-220 - 4 KVA - Bifásico + UPS - UPS-1000VA - 1000VA</t>
        </is>
      </c>
      <c r="D45" s="6" t="n">
        <v>56687.04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20/03/2026</t>
        </is>
      </c>
      <c r="B46" s="5" t="inlineStr">
        <is>
          <t>Emiliano Castro - ACME</t>
        </is>
      </c>
      <c r="C46" s="5" t="inlineStr">
        <is>
          <t>Regulador - RM-042N-220 - 4 KVA - Bifásico + UPS - UPS-1000VA - 1000VA</t>
        </is>
      </c>
      <c r="D46" s="6" t="n">
        <v>56687.04</v>
      </c>
      <c r="E46" s="6">
        <f>D46/1.16</f>
        <v/>
      </c>
      <c r="H46" t="inlineStr">
        <is>
          <t>Hugo</t>
        </is>
      </c>
    </row>
    <row r="47">
      <c r="A47" s="17" t="n"/>
      <c r="B47" s="17" t="n"/>
      <c r="C47" s="17" t="n"/>
      <c r="D47" s="18" t="inlineStr">
        <is>
          <t>TOTAL SIN IVA</t>
        </is>
      </c>
      <c r="E47" s="19">
        <f>SUM(E20:E46)</f>
        <v/>
      </c>
      <c r="F47" s="17" t="n"/>
      <c r="G47" s="17" t="n"/>
      <c r="H47" s="17" t="n"/>
    </row>
    <row r="48" ht="15" customHeight="1">
      <c r="A48" t="inlineStr">
        <is>
          <t>21/03/2026</t>
        </is>
      </c>
      <c r="B48" s="5" t="inlineStr">
        <is>
          <t>Emiliano Castro - ACME</t>
        </is>
      </c>
      <c r="C48" s="5" t="inlineStr">
        <is>
          <t>Transformador - RMT-1.51-24 - 1.5 KVA - Monofásico</t>
        </is>
      </c>
      <c r="D48" s="6" t="n">
        <v>19000.8</v>
      </c>
      <c r="E48" s="6">
        <f>D48/1.16</f>
        <v/>
      </c>
      <c r="F48" s="7">
        <f>SUM(E48:E54)</f>
        <v/>
      </c>
      <c r="G48" s="8" t="inlineStr">
        <is>
          <t>Semana 4 (27-mar)</t>
        </is>
      </c>
      <c r="H48" t="inlineStr">
        <is>
          <t>Hugo</t>
        </is>
      </c>
    </row>
    <row r="49" ht="15" customHeight="1">
      <c r="A49" t="inlineStr">
        <is>
          <t>21/03/2026</t>
        </is>
      </c>
      <c r="B49" s="5" t="inlineStr">
        <is>
          <t>Emiliano Castro - ACME</t>
        </is>
      </c>
      <c r="C49" s="5" t="inlineStr">
        <is>
          <t>Regulador - RM-042N-220 - 4 KVA - Bifásico</t>
        </is>
      </c>
      <c r="D49" s="6" t="n">
        <v>47291.04</v>
      </c>
      <c r="E49" s="6">
        <f>D49/1.16</f>
        <v/>
      </c>
      <c r="H49" t="inlineStr">
        <is>
          <t>Hugo</t>
        </is>
      </c>
    </row>
    <row r="50" ht="15" customHeight="1">
      <c r="A50" t="inlineStr">
        <is>
          <t>21/03/2026</t>
        </is>
      </c>
      <c r="B50" s="5" t="inlineStr">
        <is>
          <t>Emiliano Castro - ACME</t>
        </is>
      </c>
      <c r="C50" s="5" t="inlineStr">
        <is>
          <t>Transformador - RMT-1.51-24 - 1.5 KVA - Monofásico</t>
        </is>
      </c>
      <c r="D50" s="6" t="n">
        <v>18792</v>
      </c>
      <c r="E50" s="6">
        <f>D50/1.16</f>
        <v/>
      </c>
      <c r="H50" t="inlineStr">
        <is>
          <t>Hugo</t>
        </is>
      </c>
    </row>
    <row r="51" ht="15" customHeight="1">
      <c r="A51" t="inlineStr">
        <is>
          <t>21/03/2026</t>
        </is>
      </c>
      <c r="B51" s="5" t="inlineStr">
        <is>
          <t>Emiliano Castro - ACME</t>
        </is>
      </c>
      <c r="C51" s="5" t="inlineStr">
        <is>
          <t>Transformador - RMT-1.51-24 - 1.5 KVA - Monofásico</t>
        </is>
      </c>
      <c r="D51" s="6" t="n">
        <v>18792</v>
      </c>
      <c r="E51" s="6">
        <f>D51/1.16</f>
        <v/>
      </c>
      <c r="H51" t="inlineStr">
        <is>
          <t>Hugo</t>
        </is>
      </c>
    </row>
    <row r="52" ht="15" customHeight="1">
      <c r="A52" t="inlineStr">
        <is>
          <t>21/03/2026</t>
        </is>
      </c>
      <c r="B52" s="5" t="inlineStr">
        <is>
          <t>Emiliano Castro - ACME</t>
        </is>
      </c>
      <c r="C52" s="5" t="inlineStr">
        <is>
          <t>Transformador - RMT-1.51-24 - 1.5 KVA - Monofásico</t>
        </is>
      </c>
      <c r="D52" s="6" t="n">
        <v>18792</v>
      </c>
      <c r="E52" s="6">
        <f>D52/1.16</f>
        <v/>
      </c>
      <c r="H52" t="inlineStr">
        <is>
          <t>Hugo</t>
        </is>
      </c>
    </row>
    <row r="53" ht="15" customHeight="1">
      <c r="A53" t="inlineStr">
        <is>
          <t>21/03/2026</t>
        </is>
      </c>
      <c r="B53" s="5" t="inlineStr">
        <is>
          <t>Emiliano Castro - ACME</t>
        </is>
      </c>
      <c r="C53" s="5" t="inlineStr">
        <is>
          <t>Transformador - RMT-1.51-24 - 1.5 KVA - Monofásico</t>
        </is>
      </c>
      <c r="D53" s="6" t="n">
        <v>18792</v>
      </c>
      <c r="E53" s="6">
        <f>D53/1.16</f>
        <v/>
      </c>
      <c r="H53" t="inlineStr">
        <is>
          <t>Hugo</t>
        </is>
      </c>
    </row>
    <row r="54" ht="15" customHeight="1">
      <c r="A54" t="inlineStr">
        <is>
          <t>21/03/2026</t>
        </is>
      </c>
      <c r="B54" s="5" t="inlineStr">
        <is>
          <t>Emiliano Castro - ACME</t>
        </is>
      </c>
      <c r="C54" s="5" t="inlineStr">
        <is>
          <t>Transformador - RMT-1.51-24 - 1.5 KVA - Monofásico</t>
        </is>
      </c>
      <c r="D54" s="6" t="n">
        <v>18792</v>
      </c>
      <c r="E54" s="6">
        <f>D54/1.16</f>
        <v/>
      </c>
      <c r="H54" t="inlineStr">
        <is>
          <t>Hugo</t>
        </is>
      </c>
    </row>
    <row r="55">
      <c r="A55" s="17" t="n"/>
      <c r="B55" s="17" t="n"/>
      <c r="C55" s="17" t="n"/>
      <c r="D55" s="18" t="inlineStr">
        <is>
          <t>TOTAL SIN IVA</t>
        </is>
      </c>
      <c r="E55" s="19">
        <f>SUM(E48:E54)</f>
        <v/>
      </c>
      <c r="F55" s="17" t="n"/>
      <c r="G55" s="17" t="n"/>
      <c r="H55" s="17" t="n"/>
    </row>
    <row r="56">
      <c r="D56" s="20" t="inlineStr">
        <is>
          <t>VENTAS MARZO</t>
        </is>
      </c>
      <c r="E56" s="21">
        <f>E19+E47+E55</f>
        <v/>
      </c>
    </row>
  </sheetData>
  <mergeCells count="16">
    <mergeCell ref="A5:A6"/>
    <mergeCell ref="G5:G6"/>
    <mergeCell ref="F48:F54"/>
    <mergeCell ref="H5:H6"/>
    <mergeCell ref="G8:G18"/>
    <mergeCell ref="F8:F18"/>
    <mergeCell ref="A7:H7"/>
    <mergeCell ref="G48:G54"/>
    <mergeCell ref="A2:H2"/>
    <mergeCell ref="D5:E5"/>
    <mergeCell ref="F20:F46"/>
    <mergeCell ref="J8:L8"/>
    <mergeCell ref="G20:G46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5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SUM(E9:E19)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E51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Emiliano Castro - ACME</t>
        </is>
      </c>
      <c r="C16" s="5" t="inlineStr">
        <is>
          <t>Regulador - RM-042N-220 - 4 KVA - Bifásico</t>
        </is>
      </c>
      <c r="D16" s="6" t="n">
        <v>47291.04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11/03/2026</t>
        </is>
      </c>
      <c r="B17" s="5" t="inlineStr">
        <is>
          <t>Elizabeth - ACURA</t>
        </is>
      </c>
      <c r="C17" s="5" t="inlineStr">
        <is>
          <t>Regulador - RM-042N-220 - 4 KVA - Bifásico</t>
        </is>
      </c>
      <c r="D17" s="6" t="n">
        <v>47460.96744764729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Anticipo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12/03/2026</t>
        </is>
      </c>
      <c r="B19" s="5" t="inlineStr">
        <is>
          <t>Elizabeth - ACURA</t>
        </is>
      </c>
      <c r="C19" s="5" t="inlineStr">
        <is>
          <t>Saldo - Regulador - RM-042N-220 - 4 KVA - Bifásico</t>
        </is>
      </c>
      <c r="D19" s="6" t="n">
        <v>23645.52</v>
      </c>
      <c r="E19" s="6">
        <f>D19/1.16</f>
        <v/>
      </c>
      <c r="H19" t="inlineStr">
        <is>
          <t>Hugo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 ht="15" customHeight="1">
      <c r="A21" t="inlineStr">
        <is>
          <t>18/03/2026</t>
        </is>
      </c>
      <c r="B21" s="5" t="inlineStr">
        <is>
          <t>Emiliano Castro - ACME</t>
        </is>
      </c>
      <c r="C21" s="5" t="inlineStr">
        <is>
          <t>Regulador - RM-042N-220 - 4 KVA - Bifásico</t>
        </is>
      </c>
      <c r="D21" s="6" t="n">
        <v>47460.96744764729</v>
      </c>
      <c r="E21" s="6">
        <f>D21/1.16</f>
        <v/>
      </c>
      <c r="F21" s="26">
        <f>SUM(E21:E47)</f>
        <v/>
      </c>
      <c r="G21" s="8" t="inlineStr">
        <is>
          <t>Semana 3 (20-mar)</t>
        </is>
      </c>
      <c r="H21" t="inlineStr">
        <is>
          <t>Hugo</t>
        </is>
      </c>
    </row>
    <row r="22" ht="15" customHeight="1">
      <c r="A22" t="inlineStr">
        <is>
          <t>18/03/2026</t>
        </is>
      </c>
      <c r="B22" s="5" t="inlineStr">
        <is>
          <t>Elizabeth - ACURA</t>
        </is>
      </c>
      <c r="C22" s="5" t="inlineStr">
        <is>
          <t>Regulador - RM-042N-220 - 4 KVA - Bifásico</t>
        </is>
      </c>
      <c r="D22" s="6" t="n">
        <v>47291.04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18/03/2026</t>
        </is>
      </c>
      <c r="B23" s="5" t="inlineStr">
        <is>
          <t>Roman - OFFICE DEPOT</t>
        </is>
      </c>
      <c r="C23" s="5" t="inlineStr">
        <is>
          <t>Regulador - RM-042N-220 - 4 KVA - Bifásico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18/03/2026</t>
        </is>
      </c>
      <c r="B24" s="5" t="inlineStr">
        <is>
          <t>Roman - OFFICE DEPOT</t>
        </is>
      </c>
      <c r="C24" s="5" t="inlineStr">
        <is>
          <t>Regulador - RM-042N-220 - 4 KVA - Bifásico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18/03/2026</t>
        </is>
      </c>
      <c r="B25" s="5" t="inlineStr">
        <is>
          <t>Roman - OFFICE DEPOT</t>
        </is>
      </c>
      <c r="C25" s="5" t="inlineStr">
        <is>
          <t>Regulador - RM-042N-220 - 4 KVA - Bifásico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18/03/2026</t>
        </is>
      </c>
      <c r="B26" s="5" t="inlineStr">
        <is>
          <t>Roman - OFFICE DEPOT</t>
        </is>
      </c>
      <c r="C26" s="5" t="inlineStr">
        <is>
          <t>Regulador - RM-042N-220 - 4 KVA - Bifásico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18/03/2026</t>
        </is>
      </c>
      <c r="B27" s="5" t="inlineStr">
        <is>
          <t>Elizabeth - ACURA</t>
        </is>
      </c>
      <c r="C27" s="5" t="inlineStr">
        <is>
          <t>Regulador - RM-042N-220 - 4 KVA - Bifásico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18/03/2026</t>
        </is>
      </c>
      <c r="B28" s="5" t="inlineStr">
        <is>
          <t>Roman - OFFICE DEPOT</t>
        </is>
      </c>
      <c r="C28" s="5" t="inlineStr">
        <is>
          <t>Regulador - RM-042N-220 - 4 KVA - Bifásico</t>
        </is>
      </c>
      <c r="D28" s="6" t="n">
        <v>47291.04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18/03/2026</t>
        </is>
      </c>
      <c r="B29" s="5" t="inlineStr">
        <is>
          <t>Elizabeth - ACURA</t>
        </is>
      </c>
      <c r="C29" s="5" t="inlineStr">
        <is>
          <t>Regulador - RM-042N-220 - 4 KVA - Bifásico</t>
        </is>
      </c>
      <c r="D29" s="6" t="n">
        <v>47291.04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18/03/2026</t>
        </is>
      </c>
      <c r="B30" s="5" t="inlineStr">
        <is>
          <t>Elizabeth - ACURA</t>
        </is>
      </c>
      <c r="C30" s="5" t="inlineStr">
        <is>
          <t>Regulador - RM-042N-220 - 4 KVA - Bifásico</t>
        </is>
      </c>
      <c r="D30" s="6" t="n">
        <v>47291.04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18/03/2026</t>
        </is>
      </c>
      <c r="B31" s="5" t="inlineStr">
        <is>
          <t>Roman - OFFICE DEPOT</t>
        </is>
      </c>
      <c r="C31" s="5" t="inlineStr">
        <is>
          <t>Regulador - RM-042N-220 - 4 KVA - Bifásico</t>
        </is>
      </c>
      <c r="D31" s="6" t="n">
        <v>47291.04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18/03/2026</t>
        </is>
      </c>
      <c r="B32" s="5" t="inlineStr">
        <is>
          <t>Emiliano Castro - ACME</t>
        </is>
      </c>
      <c r="C32" s="5" t="inlineStr">
        <is>
          <t>Regulador - RM-042N-220 - 4 KVA - Bifásico</t>
        </is>
      </c>
      <c r="D32" s="6" t="n">
        <v>47291.04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18/03/2026</t>
        </is>
      </c>
      <c r="B33" s="5" t="inlineStr">
        <is>
          <t>Emiliano Castro - ACME</t>
        </is>
      </c>
      <c r="C33" s="5" t="inlineStr">
        <is>
          <t>Regulador - RM-042N-220 - 4 KVA - Bifásico</t>
        </is>
      </c>
      <c r="D33" s="6" t="n">
        <v>47291.04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18/03/2026</t>
        </is>
      </c>
      <c r="B34" s="5" t="inlineStr">
        <is>
          <t>Emiliano Castro - ACME</t>
        </is>
      </c>
      <c r="C34" s="5" t="inlineStr">
        <is>
          <t>Regulador - RM-453-220 - 45 KVA - Trifásico</t>
        </is>
      </c>
      <c r="D34" s="6" t="n">
        <v>139583.34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18/03/2026</t>
        </is>
      </c>
      <c r="B35" s="5" t="inlineStr">
        <is>
          <t>Emiliano Castro - ACME</t>
        </is>
      </c>
      <c r="C35" s="5" t="inlineStr">
        <is>
          <t>Regulador - RM-453-220 - 45 KVA - Trifásico</t>
        </is>
      </c>
      <c r="D35" s="6" t="n">
        <v>139583.34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18/03/2026</t>
        </is>
      </c>
      <c r="B36" s="5" t="inlineStr">
        <is>
          <t>Roman - OFFICE DEPOT</t>
        </is>
      </c>
      <c r="C36" s="5" t="inlineStr">
        <is>
          <t>Regulador - RM-042N-220 - 4 KVA - Bifásico</t>
        </is>
      </c>
      <c r="D36" s="6" t="n">
        <v>47291.04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18/03/2026</t>
        </is>
      </c>
      <c r="B37" s="5" t="inlineStr">
        <is>
          <t>Emiliano Castro - ACME</t>
        </is>
      </c>
      <c r="C37" s="5" t="inlineStr">
        <is>
          <t>Regulador - RM-453-220 - 45 KVA - Trifásico</t>
        </is>
      </c>
      <c r="D37" s="6" t="n">
        <v>139583.34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18/03/2026</t>
        </is>
      </c>
      <c r="B38" s="5" t="inlineStr">
        <is>
          <t>Emiliano Castro - ACME</t>
        </is>
      </c>
      <c r="C38" s="5" t="inlineStr">
        <is>
          <t>Regulador - RM-453-220 - 45 KVA - Trifásico</t>
        </is>
      </c>
      <c r="D38" s="6" t="n">
        <v>139583.34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19/03/2026</t>
        </is>
      </c>
      <c r="B39" s="5" t="inlineStr">
        <is>
          <t>Emiliano Castro - ACME</t>
        </is>
      </c>
      <c r="C39" s="5" t="inlineStr">
        <is>
          <t>Regulador - RM-042N-220 - 4 KVA - Bifásico</t>
        </is>
      </c>
      <c r="D39" s="6" t="n">
        <v>47291.04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19/03/2026</t>
        </is>
      </c>
      <c r="B40" s="5" t="inlineStr">
        <is>
          <t>Emiliano Castro - ACME</t>
        </is>
      </c>
      <c r="C40" s="5" t="inlineStr">
        <is>
          <t>Regulador - RM-042N-220 - 4 KVA - Bifásico</t>
        </is>
      </c>
      <c r="D40" s="6" t="n">
        <v>47291.04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19/03/2026</t>
        </is>
      </c>
      <c r="B41" s="5" t="inlineStr">
        <is>
          <t>Roman - OFFICE DEPOT</t>
        </is>
      </c>
      <c r="C41" s="5" t="inlineStr">
        <is>
          <t>Regulador - RM-042N-220 - 4 KVA - Bifásico</t>
        </is>
      </c>
      <c r="D41" s="6" t="n">
        <v>47291.04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20/03/2026</t>
        </is>
      </c>
      <c r="B42" s="5" t="inlineStr">
        <is>
          <t>Roman - OFFICE DEPOT</t>
        </is>
      </c>
      <c r="C42" s="5" t="inlineStr">
        <is>
          <t>Regulador - RM-453-220 - 45 KVA - Trifásico</t>
        </is>
      </c>
      <c r="D42" s="6" t="n">
        <v>139583.34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20/03/2026</t>
        </is>
      </c>
      <c r="B43" s="5" t="inlineStr">
        <is>
          <t>Roman - OFFICE DEPOT</t>
        </is>
      </c>
      <c r="C43" s="5" t="inlineStr">
        <is>
          <t>Regulador - RM-453-220 - 45 KVA - Trifásico</t>
        </is>
      </c>
      <c r="D43" s="6" t="n">
        <v>139583.34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20/03/2026</t>
        </is>
      </c>
      <c r="B44" s="5" t="inlineStr">
        <is>
          <t>Emiliano Castro - ACME</t>
        </is>
      </c>
      <c r="C44" s="5" t="inlineStr">
        <is>
          <t>Regulador - RM-041-127 - 4 KVA - Monofásico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20/03/2026</t>
        </is>
      </c>
      <c r="B45" s="5" t="inlineStr">
        <is>
          <t>Roman - OFFICE DEPOT</t>
        </is>
      </c>
      <c r="C45" s="5" t="inlineStr">
        <is>
          <t>Regulador - RM-042N-220 - 4 KVA - Bifásico</t>
        </is>
      </c>
      <c r="D45" s="6" t="n">
        <v>47460.96744764729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20/03/2026</t>
        </is>
      </c>
      <c r="B46" s="5" t="inlineStr">
        <is>
          <t>Emiliano Castro - ACME</t>
        </is>
      </c>
      <c r="C46" s="5" t="inlineStr">
        <is>
          <t>Regulador - RM-042N-220 - 4 KVA - Bifásico</t>
        </is>
      </c>
      <c r="D46" s="6" t="n">
        <v>47460.96744764729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20/03/2026</t>
        </is>
      </c>
      <c r="B47" s="5" t="inlineStr">
        <is>
          <t>Emiliano Castro - ACME</t>
        </is>
      </c>
      <c r="C47" s="5" t="inlineStr">
        <is>
          <t>Regulador - RM-042N-220 - 4 KVA - Bifásico</t>
        </is>
      </c>
      <c r="D47" s="6" t="n">
        <v>47460.96744764729</v>
      </c>
      <c r="E47" s="6">
        <f>D47/1.16</f>
        <v/>
      </c>
      <c r="H47" t="inlineStr">
        <is>
          <t>Hugo</t>
        </is>
      </c>
    </row>
    <row r="48">
      <c r="A48" s="32" t="n"/>
      <c r="B48" s="32" t="n"/>
      <c r="C48" s="32" t="n"/>
      <c r="D48" s="33" t="inlineStr">
        <is>
          <t>TOTAL SIN IVA</t>
        </is>
      </c>
      <c r="E48" s="34">
        <f>SUM(E21:E47)</f>
        <v/>
      </c>
      <c r="F48" s="32" t="n"/>
      <c r="G48" s="32" t="n"/>
      <c r="H48" s="32" t="n"/>
    </row>
    <row r="49" ht="15" customHeight="1">
      <c r="A49" t="inlineStr">
        <is>
          <t>21/03/2026</t>
        </is>
      </c>
      <c r="B49" s="5" t="inlineStr">
        <is>
          <t>Emiliano Castro - ACME</t>
        </is>
      </c>
      <c r="C49" s="5" t="inlineStr">
        <is>
          <t>Regulador - RM-042N-220 - 4 KVA - Bifásico</t>
        </is>
      </c>
      <c r="D49" s="6" t="n">
        <v>47291.04</v>
      </c>
      <c r="E49" s="6">
        <f>D49/1.16</f>
        <v/>
      </c>
      <c r="F49" s="26">
        <f>SUM(E49:E49)</f>
        <v/>
      </c>
      <c r="G49" s="8" t="inlineStr">
        <is>
          <t>Semana 4 (27-mar)</t>
        </is>
      </c>
      <c r="H49" t="inlineStr">
        <is>
          <t>Hugo</t>
        </is>
      </c>
    </row>
    <row r="50">
      <c r="A50" s="32" t="n"/>
      <c r="B50" s="32" t="n"/>
      <c r="C50" s="32" t="n"/>
      <c r="D50" s="33" t="inlineStr">
        <is>
          <t>TOTAL SIN IVA</t>
        </is>
      </c>
      <c r="E50" s="34">
        <f>SUM(E49:E49)</f>
        <v/>
      </c>
      <c r="F50" s="32" t="n"/>
      <c r="G50" s="32" t="n"/>
      <c r="H50" s="32" t="n"/>
    </row>
    <row r="51">
      <c r="D51" s="20" t="inlineStr">
        <is>
          <t>VENTAS MARZO</t>
        </is>
      </c>
      <c r="E51" s="21">
        <f>E20+E48+E50</f>
        <v/>
      </c>
    </row>
  </sheetData>
  <mergeCells count="18">
    <mergeCell ref="A5:A6"/>
    <mergeCell ref="G5:G6"/>
    <mergeCell ref="A3:H3"/>
    <mergeCell ref="H5:H6"/>
    <mergeCell ref="G49"/>
    <mergeCell ref="F9:F19"/>
    <mergeCell ref="A2:H2"/>
    <mergeCell ref="G21:G47"/>
    <mergeCell ref="D5:E5"/>
    <mergeCell ref="F21:F47"/>
    <mergeCell ref="J9:K9"/>
    <mergeCell ref="J10:K11"/>
    <mergeCell ref="F5:F6"/>
    <mergeCell ref="F49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0" t="inlineStr">
        <is>
          <t>11/03/2026</t>
        </is>
      </c>
      <c r="B14" s="41" t="inlineStr">
        <is>
          <t>Elizabeth - ACURA</t>
        </is>
      </c>
      <c r="C14" s="41" t="inlineStr">
        <is>
          <t>UPS - UPS-1000VA - 1000VA</t>
        </is>
      </c>
      <c r="D14" s="42" t="n">
        <v>9226.072552352707</v>
      </c>
      <c r="E14" s="42">
        <f>D14/1.16</f>
        <v/>
      </c>
      <c r="F14" s="42" t="n">
        <v>4500</v>
      </c>
      <c r="G14" s="42">
        <f>F14/1.16</f>
        <v/>
      </c>
      <c r="H14" s="42">
        <f>E14-G14</f>
        <v/>
      </c>
      <c r="I14" s="42">
        <f>H14*0.05</f>
        <v/>
      </c>
      <c r="J14" s="44" t="n"/>
    </row>
    <row r="15">
      <c r="A15" s="40" t="inlineStr">
        <is>
          <t>18/03/2026</t>
        </is>
      </c>
      <c r="B15" s="41" t="inlineStr">
        <is>
          <t>Emiliano Castro - ACME</t>
        </is>
      </c>
      <c r="C15" s="41" t="inlineStr">
        <is>
          <t>UPS - UPS-1000VA - 1000VA</t>
        </is>
      </c>
      <c r="D15" s="42" t="n">
        <v>9226.072552352707</v>
      </c>
      <c r="E15" s="42">
        <f>D15/1.16</f>
        <v/>
      </c>
      <c r="F15" s="42" t="n">
        <v>4500</v>
      </c>
      <c r="G15" s="42">
        <f>F15/1.16</f>
        <v/>
      </c>
      <c r="H15" s="42">
        <f>E15-G15</f>
        <v/>
      </c>
      <c r="I15" s="42">
        <f>H15*0.05</f>
        <v/>
      </c>
      <c r="J15" s="44" t="n"/>
    </row>
    <row r="16">
      <c r="A16" s="40" t="inlineStr">
        <is>
          <t>20/03/2026</t>
        </is>
      </c>
      <c r="B16" s="41" t="inlineStr">
        <is>
          <t>Roman - OFFICE DEPOT</t>
        </is>
      </c>
      <c r="C16" s="41" t="inlineStr">
        <is>
          <t>UPS - UPS-1000VA - 1000VA</t>
        </is>
      </c>
      <c r="D16" s="42" t="n">
        <v>9226.072552352707</v>
      </c>
      <c r="E16" s="42">
        <f>D16/1.16</f>
        <v/>
      </c>
      <c r="F16" s="42" t="n">
        <v>4500</v>
      </c>
      <c r="G16" s="42">
        <f>F16/1.16</f>
        <v/>
      </c>
      <c r="H16" s="42">
        <f>E16-G16</f>
        <v/>
      </c>
      <c r="I16" s="42">
        <f>H16*0.05</f>
        <v/>
      </c>
      <c r="J16" s="44" t="n"/>
    </row>
    <row r="17">
      <c r="A17" s="40" t="inlineStr">
        <is>
          <t>20/03/2026</t>
        </is>
      </c>
      <c r="B17" s="41" t="inlineStr">
        <is>
          <t>Emiliano Castro - ACME</t>
        </is>
      </c>
      <c r="C17" s="41" t="inlineStr">
        <is>
          <t>UPS - UPS-1000VA - 1000VA</t>
        </is>
      </c>
      <c r="D17" s="42" t="n">
        <v>9226.072552352707</v>
      </c>
      <c r="E17" s="42">
        <f>D17/1.16</f>
        <v/>
      </c>
      <c r="F17" s="42" t="n">
        <v>4000</v>
      </c>
      <c r="G17" s="42">
        <f>F17/1.16</f>
        <v/>
      </c>
      <c r="H17" s="42">
        <f>E17-G17</f>
        <v/>
      </c>
      <c r="I17" s="42">
        <f>H17*0.05</f>
        <v/>
      </c>
      <c r="J17" s="44" t="n"/>
    </row>
    <row r="18">
      <c r="A18" s="40" t="inlineStr">
        <is>
          <t>20/03/2026</t>
        </is>
      </c>
      <c r="B18" s="41" t="inlineStr">
        <is>
          <t>Emiliano Castro - ACME</t>
        </is>
      </c>
      <c r="C18" s="41" t="inlineStr">
        <is>
          <t>UPS - UPS-1000VA - 1000VA</t>
        </is>
      </c>
      <c r="D18" s="42" t="n">
        <v>9226.072552352707</v>
      </c>
      <c r="E18" s="42">
        <f>D18/1.16</f>
        <v/>
      </c>
      <c r="F18" s="42" t="n">
        <v>4000</v>
      </c>
      <c r="G18" s="42">
        <f>F18/1.16</f>
        <v/>
      </c>
      <c r="H18" s="42">
        <f>E18-G18</f>
        <v/>
      </c>
      <c r="I18" s="42">
        <f>H18*0.05</f>
        <v/>
      </c>
      <c r="J18" s="44" t="n"/>
    </row>
    <row r="19">
      <c r="A19" s="40" t="inlineStr">
        <is>
          <t>21/03/2026</t>
        </is>
      </c>
      <c r="B19" s="41" t="inlineStr">
        <is>
          <t>Emiliano Castro - ACME</t>
        </is>
      </c>
      <c r="C19" s="41" t="inlineStr">
        <is>
          <t>Transformador - RMT-1.51-24 - 1.5 KVA - Monofásico</t>
        </is>
      </c>
      <c r="D19" s="42" t="n">
        <v>19000.8</v>
      </c>
      <c r="E19" s="42">
        <f>D19/1.16</f>
        <v/>
      </c>
      <c r="F19" s="42" t="n">
        <v>4000</v>
      </c>
      <c r="G19" s="42">
        <f>F19/1.16</f>
        <v/>
      </c>
      <c r="H19" s="42">
        <f>E19-G19</f>
        <v/>
      </c>
      <c r="I19" s="42">
        <f>H19*0.05</f>
        <v/>
      </c>
      <c r="J19" s="44" t="n"/>
    </row>
    <row r="20">
      <c r="A20" s="40" t="inlineStr">
        <is>
          <t>21/03/2026</t>
        </is>
      </c>
      <c r="B20" s="41" t="inlineStr">
        <is>
          <t>Emiliano Castro - ACME</t>
        </is>
      </c>
      <c r="C20" s="41" t="inlineStr">
        <is>
          <t>Transformador - RMT-1.51-24 - 1.5 KVA - Monofásico</t>
        </is>
      </c>
      <c r="D20" s="42" t="n">
        <v>18792</v>
      </c>
      <c r="E20" s="42">
        <f>D20/1.16</f>
        <v/>
      </c>
      <c r="F20" s="42" t="n">
        <v>5000</v>
      </c>
      <c r="G20" s="42">
        <f>F20/1.16</f>
        <v/>
      </c>
      <c r="H20" s="42">
        <f>E20-G20</f>
        <v/>
      </c>
      <c r="I20" s="42">
        <f>H20*0.05</f>
        <v/>
      </c>
      <c r="J20" s="44" t="n"/>
    </row>
    <row r="21">
      <c r="A21" s="40" t="inlineStr">
        <is>
          <t>21/03/2026</t>
        </is>
      </c>
      <c r="B21" s="41" t="inlineStr">
        <is>
          <t>Emiliano Castro - ACME</t>
        </is>
      </c>
      <c r="C21" s="41" t="inlineStr">
        <is>
          <t>Transformador - RMT-1.51-24 - 1.5 KVA - Monofásico</t>
        </is>
      </c>
      <c r="D21" s="42" t="n">
        <v>18792</v>
      </c>
      <c r="E21" s="42">
        <f>D21/1.16</f>
        <v/>
      </c>
      <c r="F21" s="42" t="n">
        <v>4000</v>
      </c>
      <c r="G21" s="42">
        <f>F21/1.16</f>
        <v/>
      </c>
      <c r="H21" s="42">
        <f>E21-G21</f>
        <v/>
      </c>
      <c r="I21" s="42">
        <f>H21*0.05</f>
        <v/>
      </c>
      <c r="J21" s="44" t="n"/>
    </row>
    <row r="22">
      <c r="A22" s="40" t="inlineStr">
        <is>
          <t>21/03/2026</t>
        </is>
      </c>
      <c r="B22" s="41" t="inlineStr">
        <is>
          <t>Emiliano Castro - ACME</t>
        </is>
      </c>
      <c r="C22" s="41" t="inlineStr">
        <is>
          <t>Transformador - RMT-1.51-24 - 1.5 KVA - Monofásico</t>
        </is>
      </c>
      <c r="D22" s="42" t="n">
        <v>18792</v>
      </c>
      <c r="E22" s="42">
        <f>D22/1.16</f>
        <v/>
      </c>
      <c r="F22" s="42" t="n">
        <v>5000</v>
      </c>
      <c r="G22" s="42">
        <f>F22/1.16</f>
        <v/>
      </c>
      <c r="H22" s="42">
        <f>E22-G22</f>
        <v/>
      </c>
      <c r="I22" s="42">
        <f>H22*0.05</f>
        <v/>
      </c>
      <c r="J22" s="44" t="n"/>
    </row>
    <row r="23">
      <c r="A23" s="40" t="inlineStr">
        <is>
          <t>21/03/2026</t>
        </is>
      </c>
      <c r="B23" s="41" t="inlineStr">
        <is>
          <t>Emiliano Castro - ACME</t>
        </is>
      </c>
      <c r="C23" s="41" t="inlineStr">
        <is>
          <t>Transformador - RMT-1.51-24 - 1.5 KVA - Monofásico</t>
        </is>
      </c>
      <c r="D23" s="42" t="n">
        <v>18792</v>
      </c>
      <c r="E23" s="42">
        <f>D23/1.16</f>
        <v/>
      </c>
      <c r="F23" s="42" t="n">
        <v>4000</v>
      </c>
      <c r="G23" s="42">
        <f>F23/1.16</f>
        <v/>
      </c>
      <c r="H23" s="42">
        <f>E23-G23</f>
        <v/>
      </c>
      <c r="I23" s="42">
        <f>H23*0.05</f>
        <v/>
      </c>
      <c r="J23" s="44" t="n"/>
    </row>
    <row r="24">
      <c r="A24" s="40" t="inlineStr">
        <is>
          <t>21/03/2026</t>
        </is>
      </c>
      <c r="B24" s="41" t="inlineStr">
        <is>
          <t>Emiliano Castro - ACME</t>
        </is>
      </c>
      <c r="C24" s="41" t="inlineStr">
        <is>
          <t>Transformador - RMT-1.51-24 - 1.5 KVA - Monofásico</t>
        </is>
      </c>
      <c r="D24" s="42" t="n">
        <v>18792</v>
      </c>
      <c r="E24" s="42">
        <f>D24/1.16</f>
        <v/>
      </c>
      <c r="F24" s="42" t="n">
        <v>4000</v>
      </c>
      <c r="G24" s="42">
        <f>F24/1.16</f>
        <v/>
      </c>
      <c r="H24" s="42">
        <f>E24-G24</f>
        <v/>
      </c>
      <c r="I24" s="42">
        <f>H24*0.05</f>
        <v/>
      </c>
      <c r="J24" s="44" t="n"/>
    </row>
    <row r="25">
      <c r="A25" s="45" t="n"/>
      <c r="B25" s="45" t="n"/>
      <c r="C25" s="45" t="n"/>
      <c r="D25" s="45" t="n"/>
      <c r="E25" s="45" t="n"/>
      <c r="F25" s="45" t="n"/>
      <c r="G25" s="45" t="n"/>
      <c r="H25" s="46" t="inlineStr">
        <is>
          <t>TOTAL</t>
        </is>
      </c>
      <c r="I25" s="47">
        <f>SUM(I7:I24)</f>
        <v/>
      </c>
      <c r="J25" s="48" t="n"/>
    </row>
    <row r="26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50" t="inlineStr">
        <is>
          <t>Marlen</t>
        </is>
      </c>
    </row>
    <row r="27">
      <c r="A27" s="51" t="n"/>
      <c r="B27" s="51" t="n"/>
      <c r="C27" s="51" t="n"/>
      <c r="D27" s="51" t="n"/>
      <c r="E27" s="51" t="n"/>
      <c r="F27" s="51" t="n"/>
      <c r="G27" s="51" t="n"/>
      <c r="H27" s="52" t="inlineStr">
        <is>
          <t>TOTAL</t>
        </is>
      </c>
      <c r="I27" s="53">
        <f>SUM(I26:I26)</f>
        <v/>
      </c>
      <c r="J27" s="54" t="n"/>
    </row>
  </sheetData>
  <mergeCells count="13">
    <mergeCell ref="A5:A6"/>
    <mergeCell ref="J26:J27"/>
    <mergeCell ref="A1:J1"/>
    <mergeCell ref="H5:H6"/>
    <mergeCell ref="J5:J6"/>
    <mergeCell ref="F5:G5"/>
    <mergeCell ref="D5:E5"/>
    <mergeCell ref="A4:J4"/>
    <mergeCell ref="A2:J2"/>
    <mergeCell ref="J7:J25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2026-03-21T07:39:44Z</dcterms:created>
  <dcterms:modified xsi:type="dcterms:W3CDTF">2026-03-21T07:39:44Z</dcterms:modified>
</cp:coreProperties>
</file>