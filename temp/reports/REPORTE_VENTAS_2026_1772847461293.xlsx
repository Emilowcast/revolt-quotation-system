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0" fillId="0" borderId="2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8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RM-1003-460 - 100 KVA - Trifásico - 460 V</t>
        </is>
      </c>
      <c r="D8" s="6" t="n">
        <v>168421.5</v>
      </c>
      <c r="E8" s="6">
        <f>D8/1.16</f>
        <v/>
      </c>
      <c r="F8" s="7">
        <f>SUM(E8:E25)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SUMIF(H8:H26,J10,E8:E26)</f>
        <v/>
      </c>
      <c r="L10" s="13">
        <f>K10/E$27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1" t="inlineStr">
        <is>
          <t>Marlen</t>
        </is>
      </c>
      <c r="K11" s="12">
        <f>SUMIF(H8:H26,J11,E8:E26)</f>
        <v/>
      </c>
      <c r="L11" s="13">
        <f>K11/E$27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  <c r="J12" s="14" t="inlineStr">
        <is>
          <t>Total</t>
        </is>
      </c>
      <c r="K12" s="15">
        <f>E27</f>
        <v/>
      </c>
      <c r="L12" s="16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H19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Brandon Castro - REDTEAM</t>
        </is>
      </c>
      <c r="C20" s="18" t="inlineStr">
        <is>
          <t>RM-042N-220 - 4 KVA - Bifásico - 220 V</t>
        </is>
      </c>
      <c r="D20" s="19" t="n">
        <v>47291.04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Brandon Castro - REDTEAM</t>
        </is>
      </c>
      <c r="C21" s="18" t="inlineStr">
        <is>
          <t>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04/03/2026</t>
        </is>
      </c>
      <c r="B22" s="18" t="inlineStr">
        <is>
          <t>Emiliano Castro - ACME</t>
        </is>
      </c>
      <c r="C22" s="18" t="inlineStr">
        <is>
          <t>RM-042N-220 - 4 KVA - Bifásico - 220 V</t>
        </is>
      </c>
      <c r="D22" s="19" t="n">
        <v>41668.2</v>
      </c>
      <c r="E22" s="19">
        <f>D22/1.16</f>
        <v/>
      </c>
      <c r="H22" s="17" t="inlineStr">
        <is>
          <t>Marlen</t>
        </is>
      </c>
    </row>
    <row r="23" ht="15" customHeight="1">
      <c r="A23" s="17" t="inlineStr">
        <is>
          <t>04/03/2026</t>
        </is>
      </c>
      <c r="B23" s="18" t="inlineStr">
        <is>
          <t>Emiliano Castro - ACME</t>
        </is>
      </c>
      <c r="C23" s="18" t="inlineStr">
        <is>
          <t>RM-042N-220 - 4 KVA - Bifásico - 220 V</t>
        </is>
      </c>
      <c r="D23" s="19" t="n">
        <v>47291.04</v>
      </c>
      <c r="E23" s="19">
        <f>D23/1.16</f>
        <v/>
      </c>
      <c r="H23" s="17" t="inlineStr">
        <is>
          <t>Marlen</t>
        </is>
      </c>
    </row>
    <row r="24" ht="15" customHeight="1">
      <c r="A24" s="17" t="inlineStr">
        <is>
          <t>05/03/2026</t>
        </is>
      </c>
      <c r="B24" s="18" t="inlineStr">
        <is>
          <t>Roman - OFFICE DEPOT</t>
        </is>
      </c>
      <c r="C24" s="18" t="inlineStr">
        <is>
          <t>RM-042N-220 - 4 KVA - Bifásico - 220 V</t>
        </is>
      </c>
      <c r="D24" s="19" t="n">
        <v>47291.04</v>
      </c>
      <c r="E24" s="19">
        <f>D24/1.16</f>
        <v/>
      </c>
      <c r="H24" s="17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>
      <c r="A26" s="20" t="n"/>
      <c r="B26" s="20" t="n"/>
      <c r="C26" s="20" t="n"/>
      <c r="D26" s="21" t="inlineStr">
        <is>
          <t>TOTAL SIN IVA</t>
        </is>
      </c>
      <c r="E26" s="22">
        <f>SUM(E8:E25)</f>
        <v/>
      </c>
      <c r="F26" s="20" t="n"/>
      <c r="G26" s="20" t="n"/>
      <c r="H26" s="20" t="n"/>
    </row>
    <row r="27">
      <c r="D27" s="23" t="inlineStr">
        <is>
          <t>VENTAS MARZO</t>
        </is>
      </c>
      <c r="E27" s="24">
        <f>E26</f>
        <v/>
      </c>
    </row>
  </sheetData>
  <mergeCells count="12">
    <mergeCell ref="A5:A6"/>
    <mergeCell ref="G5:G6"/>
    <mergeCell ref="H5:H6"/>
    <mergeCell ref="A7:H7"/>
    <mergeCell ref="G8:G25"/>
    <mergeCell ref="F8:F25"/>
    <mergeCell ref="A2:H2"/>
    <mergeCell ref="D5:E5"/>
    <mergeCell ref="J8:L8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5" t="inlineStr">
        <is>
          <t>Comisiones Anual 2026</t>
        </is>
      </c>
    </row>
    <row r="3">
      <c r="A3" s="26" t="inlineStr">
        <is>
          <t>Reguladores Electromecánicos, Reparaciones y Mantenimientos</t>
        </is>
      </c>
    </row>
    <row r="4"/>
    <row r="5">
      <c r="A5" s="27" t="inlineStr">
        <is>
          <t>Fecha</t>
        </is>
      </c>
      <c r="B5" s="27" t="inlineStr">
        <is>
          <t>Cliente</t>
        </is>
      </c>
      <c r="C5" s="27" t="inlineStr">
        <is>
          <t>Concepto</t>
        </is>
      </c>
      <c r="D5" s="27" t="inlineStr">
        <is>
          <t>DEPÓSITO</t>
        </is>
      </c>
      <c r="E5" s="3" t="n"/>
      <c r="F5" s="27" t="inlineStr">
        <is>
          <t>Total</t>
        </is>
      </c>
      <c r="G5" s="27" t="inlineStr">
        <is>
          <t>Semana</t>
        </is>
      </c>
      <c r="H5" s="27" t="inlineStr">
        <is>
          <t>Vendedor</t>
        </is>
      </c>
    </row>
    <row r="6">
      <c r="A6" s="3" t="n"/>
      <c r="B6" s="3" t="n"/>
      <c r="C6" s="3" t="n"/>
      <c r="D6" s="27" t="inlineStr">
        <is>
          <t>Con IVA</t>
        </is>
      </c>
      <c r="E6" s="27" t="inlineStr">
        <is>
          <t>Sin IVA</t>
        </is>
      </c>
      <c r="F6" s="3" t="n"/>
      <c r="G6" s="3" t="n"/>
      <c r="H6" s="3" t="n"/>
    </row>
    <row r="7"/>
    <row r="8" ht="30" customHeight="1">
      <c r="A8" s="28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RM-1003-460 - 100 KVA - Trifásico - 460 V</t>
        </is>
      </c>
      <c r="D9" s="6" t="n">
        <v>168421.5</v>
      </c>
      <c r="E9" s="6">
        <f>D9/1.16</f>
        <v/>
      </c>
      <c r="F9" s="29">
        <f>SUM(E9:E23)</f>
        <v/>
      </c>
      <c r="G9" s="8" t="inlineStr">
        <is>
          <t>Semana 1 (06-mar)</t>
        </is>
      </c>
      <c r="H9" t="inlineStr">
        <is>
          <t>Hugo</t>
        </is>
      </c>
      <c r="J9" s="30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31">
        <f>E25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32" t="inlineStr">
        <is>
          <t>Vendedor</t>
        </is>
      </c>
      <c r="K12" s="32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3" t="inlineStr">
        <is>
          <t>Hugo</t>
        </is>
      </c>
      <c r="K13" s="34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3" t="inlineStr">
        <is>
          <t>Marlen</t>
        </is>
      </c>
      <c r="K14" s="34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 ht="15" customHeight="1">
      <c r="A18" s="17" t="inlineStr">
        <is>
          <t>04/03/2026</t>
        </is>
      </c>
      <c r="B18" s="18" t="inlineStr">
        <is>
          <t>Brandon Castro - REDTEAM</t>
        </is>
      </c>
      <c r="C18" s="18" t="inlineStr">
        <is>
          <t>RM-042N-220 - 4 KVA - Bifásico - 220 V</t>
        </is>
      </c>
      <c r="D18" s="19" t="n">
        <v>47291.04</v>
      </c>
      <c r="E18" s="19">
        <f>D18/1.16</f>
        <v/>
      </c>
      <c r="H18" s="17" t="inlineStr">
        <is>
          <t>Marlen</t>
        </is>
      </c>
    </row>
    <row r="19" ht="15" customHeight="1">
      <c r="A19" s="17" t="inlineStr">
        <is>
          <t>04/03/2026</t>
        </is>
      </c>
      <c r="B19" s="18" t="inlineStr">
        <is>
          <t>Brandon Castro - REDTEAM</t>
        </is>
      </c>
      <c r="C19" s="18" t="inlineStr">
        <is>
          <t>RM-042N-220 - 4 KVA - Bifásico - 220 V</t>
        </is>
      </c>
      <c r="D19" s="19" t="n">
        <v>47291.04</v>
      </c>
      <c r="E19" s="19">
        <f>D19/1.16</f>
        <v/>
      </c>
      <c r="H19" s="17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Emiliano Castro - ACME</t>
        </is>
      </c>
      <c r="C20" s="18" t="inlineStr">
        <is>
          <t>RM-042N-220 - 4 KVA - Bifásico - 220 V</t>
        </is>
      </c>
      <c r="D20" s="19" t="n">
        <v>41668.2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Emiliano Castro - ACME</t>
        </is>
      </c>
      <c r="C21" s="18" t="inlineStr">
        <is>
          <t>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05/03/2026</t>
        </is>
      </c>
      <c r="B22" s="18" t="inlineStr">
        <is>
          <t>Roman - OFFICE DEPOT</t>
        </is>
      </c>
      <c r="C22" s="18" t="inlineStr">
        <is>
          <t>RM-042N-220 - 4 KVA - Bifásico - 220 V</t>
        </is>
      </c>
      <c r="D22" s="19" t="n">
        <v>47291.04</v>
      </c>
      <c r="E22" s="19">
        <f>D22/1.16</f>
        <v/>
      </c>
      <c r="H22" s="17" t="inlineStr">
        <is>
          <t>Hugo</t>
        </is>
      </c>
    </row>
    <row r="23" ht="15" customHeight="1">
      <c r="A23" t="inlineStr">
        <is>
          <t>06/03/2026</t>
        </is>
      </c>
      <c r="B23" s="5" t="inlineStr">
        <is>
          <t>Elizabeth - ACURA</t>
        </is>
      </c>
      <c r="C23" s="5" t="inlineStr">
        <is>
          <t>RM-042N-220 - 4 KVA - Bifásico - 220 V</t>
        </is>
      </c>
      <c r="D23" s="6" t="n">
        <v>47291.04</v>
      </c>
      <c r="E23" s="6">
        <f>D23/1.16</f>
        <v/>
      </c>
      <c r="H23" t="inlineStr">
        <is>
          <t>Hugo</t>
        </is>
      </c>
    </row>
    <row r="24">
      <c r="A24" s="35" t="n"/>
      <c r="B24" s="35" t="n"/>
      <c r="C24" s="35" t="n"/>
      <c r="D24" s="36" t="inlineStr">
        <is>
          <t>TOTAL SIN IVA</t>
        </is>
      </c>
      <c r="E24" s="37">
        <f>SUM(E9:E23)</f>
        <v/>
      </c>
      <c r="F24" s="35" t="n"/>
      <c r="G24" s="35" t="n"/>
      <c r="H24" s="35" t="n"/>
    </row>
    <row r="25">
      <c r="D25" s="23" t="inlineStr">
        <is>
          <t>VENTAS MARZO</t>
        </is>
      </c>
      <c r="E25" s="24">
        <f>E24</f>
        <v/>
      </c>
    </row>
  </sheetData>
  <mergeCells count="14">
    <mergeCell ref="A5:A6"/>
    <mergeCell ref="G5:G6"/>
    <mergeCell ref="A3:H3"/>
    <mergeCell ref="H5:H6"/>
    <mergeCell ref="F9:F23"/>
    <mergeCell ref="A2:H2"/>
    <mergeCell ref="D5:E5"/>
    <mergeCell ref="J9:K9"/>
    <mergeCell ref="J10:K11"/>
    <mergeCell ref="F5:F6"/>
    <mergeCell ref="G9:G23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8" t="inlineStr">
        <is>
          <t>Comisions Mensual Equipo de Comercializacion 2026</t>
        </is>
      </c>
    </row>
    <row r="2">
      <c r="A2" s="39" t="inlineStr">
        <is>
          <t>Reguladores Electrónicos, Equipos de EC, UPS, No Breaks, Plantas, Transformadores, Instalaciones</t>
        </is>
      </c>
    </row>
    <row r="4" ht="21" customHeight="1">
      <c r="A4" s="40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1" t="inlineStr">
        <is>
          <t>Fecha</t>
        </is>
      </c>
      <c r="B5" s="41" t="inlineStr">
        <is>
          <t>Cliente</t>
        </is>
      </c>
      <c r="C5" s="41" t="inlineStr">
        <is>
          <t>Concepto</t>
        </is>
      </c>
      <c r="D5" s="41" t="inlineStr">
        <is>
          <t>Deposito</t>
        </is>
      </c>
      <c r="E5" s="3" t="n"/>
      <c r="F5" s="41" t="inlineStr">
        <is>
          <t>Precio Proveedor</t>
        </is>
      </c>
      <c r="G5" s="3" t="n"/>
      <c r="H5" s="42" t="inlineStr">
        <is>
          <t>Base para
Comisión</t>
        </is>
      </c>
      <c r="I5" s="42" t="inlineStr">
        <is>
          <t>Comision</t>
        </is>
      </c>
      <c r="J5" s="42" t="inlineStr">
        <is>
          <t>Vendedor</t>
        </is>
      </c>
    </row>
    <row r="6">
      <c r="A6" s="3" t="n"/>
      <c r="B6" s="3" t="n"/>
      <c r="C6" s="3" t="n"/>
      <c r="D6" s="41" t="inlineStr">
        <is>
          <t>Con IVA</t>
        </is>
      </c>
      <c r="E6" s="41" t="inlineStr">
        <is>
          <t>Sin IVA</t>
        </is>
      </c>
      <c r="F6" s="41" t="inlineStr">
        <is>
          <t>Con IVA</t>
        </is>
      </c>
      <c r="G6" s="41" t="inlineStr">
        <is>
          <t>Sin IVA</t>
        </is>
      </c>
      <c r="H6" s="3" t="n"/>
      <c r="I6" s="3" t="n"/>
      <c r="J6" s="3" t="n"/>
    </row>
    <row r="7">
      <c r="A7" s="43" t="inlineStr">
        <is>
          <t>04/03/2026</t>
        </is>
      </c>
      <c r="B7" s="44" t="inlineStr">
        <is>
          <t>Elizabeth - ACURA</t>
        </is>
      </c>
      <c r="C7" s="44" t="inlineStr">
        <is>
          <t>UPS - UPS-1000VA - 1000VA - 1000 V</t>
        </is>
      </c>
      <c r="D7" s="45" t="n">
        <v>8352</v>
      </c>
      <c r="E7" s="45">
        <f>D7/1.16</f>
        <v/>
      </c>
      <c r="F7" s="45" t="n">
        <v>5000</v>
      </c>
      <c r="G7" s="45">
        <f>F7/1.16</f>
        <v/>
      </c>
      <c r="H7" s="45">
        <f>E7-G7</f>
        <v/>
      </c>
      <c r="I7" s="45">
        <f>H7*0.05</f>
        <v/>
      </c>
      <c r="J7" s="46" t="inlineStr">
        <is>
          <t>Hugo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8" t="inlineStr">
        <is>
          <t>TOTAL</t>
        </is>
      </c>
      <c r="I8" s="49">
        <f>SUM(I7:I7)</f>
        <v/>
      </c>
      <c r="J8" s="50" t="n"/>
    </row>
    <row r="9">
      <c r="A9" s="51" t="inlineStr">
        <is>
          <t>04/03/2026</t>
        </is>
      </c>
      <c r="B9" s="52" t="inlineStr">
        <is>
          <t>Roman - OFFICE DEPOT</t>
        </is>
      </c>
      <c r="C9" s="52" t="inlineStr">
        <is>
          <t>UPS - UPS-1000VA - 1000VA - 1000 V</t>
        </is>
      </c>
      <c r="D9" s="53" t="n">
        <v>8352</v>
      </c>
      <c r="E9" s="53">
        <f>D9/1.16</f>
        <v/>
      </c>
      <c r="F9" s="53" t="n">
        <v>5000</v>
      </c>
      <c r="G9" s="53">
        <f>F9/1.16</f>
        <v/>
      </c>
      <c r="H9" s="53">
        <f>E9-G9</f>
        <v/>
      </c>
      <c r="I9" s="53">
        <f>H9*0.1</f>
        <v/>
      </c>
      <c r="J9" s="54" t="inlineStr">
        <is>
          <t>Marlen</t>
        </is>
      </c>
    </row>
    <row r="10">
      <c r="A10" s="51" t="inlineStr">
        <is>
          <t>04/03/2026</t>
        </is>
      </c>
      <c r="B10" s="52" t="inlineStr">
        <is>
          <t>Elizabeth - ACURA</t>
        </is>
      </c>
      <c r="C10" s="52" t="inlineStr">
        <is>
          <t>Transformador - TM-040-520 - 500 VA - Monofásico - 500 V</t>
        </is>
      </c>
      <c r="D10" s="53" t="n">
        <v>11066.4</v>
      </c>
      <c r="E10" s="53">
        <f>D10/1.16</f>
        <v/>
      </c>
      <c r="F10" s="53" t="n">
        <v>5000</v>
      </c>
      <c r="G10" s="53">
        <f>F10/1.16</f>
        <v/>
      </c>
      <c r="H10" s="53">
        <f>E10-G10</f>
        <v/>
      </c>
      <c r="I10" s="53">
        <f>H10*0.1</f>
        <v/>
      </c>
      <c r="J10" s="55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7" t="inlineStr">
        <is>
          <t>TOTAL</t>
        </is>
      </c>
      <c r="I11" s="58">
        <f>SUM(I9:I10)</f>
        <v/>
      </c>
      <c r="J11" s="50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2026-03-07T01:37:42Z</dcterms:created>
  <dcterms:modified xsi:type="dcterms:W3CDTF">2026-03-07T01:37:42Z</dcterms:modified>
</cp:coreProperties>
</file>