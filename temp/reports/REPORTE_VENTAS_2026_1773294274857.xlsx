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7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1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vertical="top" wrapText="1"/>
    </xf>
    <xf numFmtId="164" fontId="7" fillId="13" borderId="1" pivotButton="0" quotePrefix="0" xfId="0"/>
    <xf numFmtId="0" fontId="4" fillId="1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4" borderId="1" pivotButton="0" quotePrefix="0" xfId="0"/>
    <xf numFmtId="0" fontId="4" fillId="14" borderId="1" applyAlignment="1" pivotButton="0" quotePrefix="0" xfId="0">
      <alignment horizontal="right" vertical="center"/>
    </xf>
    <xf numFmtId="164" fontId="4" fillId="14" borderId="1" pivotButton="0" quotePrefix="0" xfId="0"/>
    <xf numFmtId="0" fontId="0" fillId="0" borderId="2" pivotButton="0" quotePrefix="0" xfId="0"/>
    <xf numFmtId="0" fontId="0" fillId="15" borderId="1" pivotButton="0" quotePrefix="0" xfId="0"/>
    <xf numFmtId="0" fontId="4" fillId="15" borderId="1" applyAlignment="1" pivotButton="0" quotePrefix="0" xfId="0">
      <alignment horizontal="center" vertical="center"/>
    </xf>
    <xf numFmtId="0" fontId="0" fillId="16" borderId="1" pivotButton="0" quotePrefix="0" xfId="0"/>
    <xf numFmtId="0" fontId="4" fillId="16" borderId="1" applyAlignment="1" pivotButton="0" quotePrefix="0" xfId="0">
      <alignment horizontal="right" vertical="center"/>
    </xf>
    <xf numFmtId="164" fontId="4" fillId="16" borderId="1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4" customWidth="1" min="2" max="2"/>
    <col width="60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11/03/2026</t>
        </is>
      </c>
      <c r="B8" s="5" t="inlineStr">
        <is>
          <t>Emiliano Castro - ACME</t>
        </is>
      </c>
      <c r="C8" s="5" t="inlineStr">
        <is>
          <t>Saldo - Regulador - RM-042N-220 - 4 KVA - Bifásico + UPS - UPS-1000VA - 1000VA</t>
        </is>
      </c>
      <c r="D8" s="6" t="n">
        <v>28343.52</v>
      </c>
      <c r="E8" s="6">
        <f>D8/1.16</f>
        <v/>
      </c>
      <c r="F8" s="7">
        <f>SUM(E8:E15)</f>
        <v/>
      </c>
      <c r="G8" s="8" t="inlineStr">
        <is>
          <t>Semana 2 (13-mar)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11/03/2026</t>
        </is>
      </c>
      <c r="B9" s="5" t="inlineStr">
        <is>
          <t>Emiliano Castro - ACME</t>
        </is>
      </c>
      <c r="C9" s="5" t="inlineStr">
        <is>
          <t>Anticipo - Regulador - RM-042N-220 - 4 KVA - Bifásico + UPS - UPS-1000VA - 1000VA</t>
        </is>
      </c>
      <c r="D9" s="6" t="n">
        <v>28343.52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11/03/2026</t>
        </is>
      </c>
      <c r="B10" s="5" t="inlineStr">
        <is>
          <t>Emiliano Castro - ACME</t>
        </is>
      </c>
      <c r="C10" s="5" t="inlineStr">
        <is>
          <t>Saldo - Regulador - RM-042N-220 - 4 KVA - Bifásico + UPS - UPS-1000VA - 1000VA</t>
        </is>
      </c>
      <c r="D10" s="6" t="n">
        <v>28343.52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SUMIF(H8:H16,J10,E8:E16)</f>
        <v/>
      </c>
      <c r="L10" s="13">
        <f>K10/E$17</f>
        <v/>
      </c>
    </row>
    <row r="11" ht="15" customHeight="1">
      <c r="A11" t="inlineStr">
        <is>
          <t>11/03/2026</t>
        </is>
      </c>
      <c r="B11" s="5" t="inlineStr">
        <is>
          <t>Elizabeth - ACURA</t>
        </is>
      </c>
      <c r="C11" s="5" t="inlineStr">
        <is>
          <t>Anticipo - Regulador - RM-042N-220 - 4 KVA - Bifásico + UPS - UPS-1000VA - 1000VA</t>
        </is>
      </c>
      <c r="D11" s="6" t="n">
        <v>28343.52</v>
      </c>
      <c r="E11" s="6">
        <f>D11/1.16</f>
        <v/>
      </c>
      <c r="H11" t="inlineStr">
        <is>
          <t>Hugo</t>
        </is>
      </c>
      <c r="J11" s="14" t="inlineStr">
        <is>
          <t>Total</t>
        </is>
      </c>
      <c r="K11" s="15">
        <f>E17</f>
        <v/>
      </c>
      <c r="L11" s="16" t="n">
        <v>1</v>
      </c>
    </row>
    <row r="12" ht="15" customHeight="1">
      <c r="A12" t="inlineStr">
        <is>
          <t>11/03/2026</t>
        </is>
      </c>
      <c r="B12" s="5" t="inlineStr">
        <is>
          <t>Elizabeth - ACURA</t>
        </is>
      </c>
      <c r="C12" s="5" t="inlineStr">
        <is>
          <t>Saldo - Regulador - RM-042N-220 - 4 KVA - Bifásico + UPS - UPS-1000VA - 1000VA</t>
        </is>
      </c>
      <c r="D12" s="6" t="n">
        <v>28343.52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11/03/2026</t>
        </is>
      </c>
      <c r="B13" s="5" t="inlineStr">
        <is>
          <t>Elizabeth - ACURA</t>
        </is>
      </c>
      <c r="C13" s="5" t="inlineStr">
        <is>
          <t>Anticipo - Regulador - RM-042N-220 - 4 KVA - Bifásico + UPS - UPS-1000VA - 1000VA</t>
        </is>
      </c>
      <c r="D13" s="6" t="n">
        <v>28343.52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11/03/2026</t>
        </is>
      </c>
      <c r="B14" s="5" t="inlineStr">
        <is>
          <t>Elizabeth - ACURA</t>
        </is>
      </c>
      <c r="C14" s="5" t="inlineStr">
        <is>
          <t>Saldo - Regulador - RM-042N-220 - 4 KVA - Bifásico + UPS - UPS-1000VA - 1000VA</t>
        </is>
      </c>
      <c r="D14" s="6" t="n">
        <v>28343.52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11/03/2026</t>
        </is>
      </c>
      <c r="B15" s="5" t="inlineStr">
        <is>
          <t>Emiliano Castro - ACME</t>
        </is>
      </c>
      <c r="C15" s="5" t="inlineStr">
        <is>
          <t>Regulador - RM-042N-220 - 4 KVA - Bifásico</t>
        </is>
      </c>
      <c r="D15" s="6" t="n">
        <v>47291.04</v>
      </c>
      <c r="E15" s="6">
        <f>D15/1.16</f>
        <v/>
      </c>
      <c r="H15" t="inlineStr">
        <is>
          <t>Hugo</t>
        </is>
      </c>
    </row>
    <row r="16">
      <c r="A16" s="17" t="n"/>
      <c r="B16" s="17" t="n"/>
      <c r="C16" s="17" t="n"/>
      <c r="D16" s="18" t="inlineStr">
        <is>
          <t>TOTAL SIN IVA</t>
        </is>
      </c>
      <c r="E16" s="19">
        <f>SUM(E8:E15)</f>
        <v/>
      </c>
      <c r="F16" s="17" t="n"/>
      <c r="G16" s="17" t="n"/>
      <c r="H16" s="17" t="n"/>
    </row>
    <row r="17">
      <c r="D17" s="20" t="inlineStr">
        <is>
          <t>VENTAS MARZO</t>
        </is>
      </c>
      <c r="E17" s="21">
        <f>E16</f>
        <v/>
      </c>
    </row>
  </sheetData>
  <mergeCells count="12">
    <mergeCell ref="A5:A6"/>
    <mergeCell ref="G5:G6"/>
    <mergeCell ref="H5:H6"/>
    <mergeCell ref="A7:H7"/>
    <mergeCell ref="F8:F15"/>
    <mergeCell ref="A2:H2"/>
    <mergeCell ref="D5:E5"/>
    <mergeCell ref="J8:L8"/>
    <mergeCell ref="F5:F6"/>
    <mergeCell ref="G8:G15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4" customWidth="1" min="2" max="2"/>
    <col width="55" customWidth="1" min="3" max="3"/>
    <col width="20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2" t="inlineStr">
        <is>
          <t>Comisiones Anual 2026</t>
        </is>
      </c>
    </row>
    <row r="3">
      <c r="A3" s="23" t="inlineStr">
        <is>
          <t>Reguladores Electromecánicos, Reparaciones y Mantenimientos</t>
        </is>
      </c>
    </row>
    <row r="4"/>
    <row r="5">
      <c r="A5" s="24" t="inlineStr">
        <is>
          <t>Fecha</t>
        </is>
      </c>
      <c r="B5" s="24" t="inlineStr">
        <is>
          <t>Cliente</t>
        </is>
      </c>
      <c r="C5" s="24" t="inlineStr">
        <is>
          <t>Concepto</t>
        </is>
      </c>
      <c r="D5" s="24" t="inlineStr">
        <is>
          <t>DEPÓSITO</t>
        </is>
      </c>
      <c r="E5" s="3" t="n"/>
      <c r="F5" s="24" t="inlineStr">
        <is>
          <t>Total</t>
        </is>
      </c>
      <c r="G5" s="24" t="inlineStr">
        <is>
          <t>Semana</t>
        </is>
      </c>
      <c r="H5" s="24" t="inlineStr">
        <is>
          <t>Vendedor</t>
        </is>
      </c>
    </row>
    <row r="6">
      <c r="A6" s="3" t="n"/>
      <c r="B6" s="3" t="n"/>
      <c r="C6" s="3" t="n"/>
      <c r="D6" s="24" t="inlineStr">
        <is>
          <t>Con IVA</t>
        </is>
      </c>
      <c r="E6" s="24" t="inlineStr">
        <is>
          <t>Sin IVA</t>
        </is>
      </c>
      <c r="F6" s="3" t="n"/>
      <c r="G6" s="3" t="n"/>
      <c r="H6" s="3" t="n"/>
    </row>
    <row r="7"/>
    <row r="8" ht="30" customHeight="1">
      <c r="A8" s="25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11/03/2026</t>
        </is>
      </c>
      <c r="B9" s="5" t="inlineStr">
        <is>
          <t>Emiliano Castro - ACME</t>
        </is>
      </c>
      <c r="C9" s="5" t="inlineStr">
        <is>
          <t>Saldo - Regulador - RM-042N-220 - 4 KVA - Bifásico</t>
        </is>
      </c>
      <c r="D9" s="6" t="n">
        <v>23730.48372382365</v>
      </c>
      <c r="E9" s="6">
        <f>D9/1.16</f>
        <v/>
      </c>
      <c r="F9" s="26">
        <f>SUM(E9:E16)</f>
        <v/>
      </c>
      <c r="G9" s="8" t="inlineStr">
        <is>
          <t>Semana 2 (13-mar)</t>
        </is>
      </c>
      <c r="H9" t="inlineStr">
        <is>
          <t>Hugo</t>
        </is>
      </c>
      <c r="J9" s="27" t="inlineStr">
        <is>
          <t>VENTAS MARZO</t>
        </is>
      </c>
      <c r="K9" s="3" t="n"/>
    </row>
    <row r="10" ht="15" customHeight="1">
      <c r="A10" t="inlineStr">
        <is>
          <t>11/03/2026</t>
        </is>
      </c>
      <c r="B10" s="5" t="inlineStr">
        <is>
          <t>Emiliano Castro - ACME</t>
        </is>
      </c>
      <c r="C10" s="5" t="inlineStr">
        <is>
          <t>Anticipo - Regulador - RM-042N-220 - 4 KVA - Bifásico</t>
        </is>
      </c>
      <c r="D10" s="6" t="n">
        <v>23730.48372382365</v>
      </c>
      <c r="E10" s="6">
        <f>D10/1.16</f>
        <v/>
      </c>
      <c r="H10" t="inlineStr">
        <is>
          <t>Hugo</t>
        </is>
      </c>
      <c r="J10" s="28">
        <f>E18</f>
        <v/>
      </c>
      <c r="K10" s="3" t="n"/>
    </row>
    <row r="11" ht="15" customHeight="1">
      <c r="A11" t="inlineStr">
        <is>
          <t>11/03/2026</t>
        </is>
      </c>
      <c r="B11" s="5" t="inlineStr">
        <is>
          <t>Emiliano Castro - ACME</t>
        </is>
      </c>
      <c r="C11" s="5" t="inlineStr">
        <is>
          <t>Saldo - Regulador - RM-042N-220 - 4 KVA - Bifásico</t>
        </is>
      </c>
      <c r="D11" s="6" t="n">
        <v>23730.48372382365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11/03/2026</t>
        </is>
      </c>
      <c r="B12" s="5" t="inlineStr">
        <is>
          <t>Elizabeth - ACURA</t>
        </is>
      </c>
      <c r="C12" s="5" t="inlineStr">
        <is>
          <t>Anticipo - Regulador - RM-042N-220 - 4 KVA - Bifásico</t>
        </is>
      </c>
      <c r="D12" s="6" t="n">
        <v>23730.48372382365</v>
      </c>
      <c r="E12" s="6">
        <f>D12/1.16</f>
        <v/>
      </c>
      <c r="H12" t="inlineStr">
        <is>
          <t>Hugo</t>
        </is>
      </c>
      <c r="J12" s="29" t="inlineStr">
        <is>
          <t>Vendedor</t>
        </is>
      </c>
      <c r="K12" s="29" t="inlineStr">
        <is>
          <t>Comisiones</t>
        </is>
      </c>
    </row>
    <row r="13" ht="15" customHeight="1">
      <c r="A13" t="inlineStr">
        <is>
          <t>11/03/2026</t>
        </is>
      </c>
      <c r="B13" s="5" t="inlineStr">
        <is>
          <t>Elizabeth - ACURA</t>
        </is>
      </c>
      <c r="C13" s="5" t="inlineStr">
        <is>
          <t>Saldo - Regulador - RM-042N-220 - 4 KVA - Bifásico</t>
        </is>
      </c>
      <c r="D13" s="6" t="n">
        <v>23730.48372382365</v>
      </c>
      <c r="E13" s="6">
        <f>D13/1.16</f>
        <v/>
      </c>
      <c r="H13" t="inlineStr">
        <is>
          <t>Hugo</t>
        </is>
      </c>
      <c r="J13" s="30" t="inlineStr">
        <is>
          <t>Hugo</t>
        </is>
      </c>
      <c r="K13" s="31">
        <f>IF(J10&lt;=690000,0,IF(J10&lt;=890000,J10*0.01,IF(J10&lt;=1090000,J10*0.015,IF(J10&lt;=1290000,J10*0.021,J10*0.0222))))</f>
        <v/>
      </c>
    </row>
    <row r="14" ht="15" customHeight="1">
      <c r="A14" t="inlineStr">
        <is>
          <t>11/03/2026</t>
        </is>
      </c>
      <c r="B14" s="5" t="inlineStr">
        <is>
          <t>Elizabeth - ACURA</t>
        </is>
      </c>
      <c r="C14" s="5" t="inlineStr">
        <is>
          <t>Anticipo - Regulador - RM-042N-220 - 4 KVA - Bifásico</t>
        </is>
      </c>
      <c r="D14" s="6" t="n">
        <v>23730.48372382365</v>
      </c>
      <c r="E14" s="6">
        <f>D14/1.16</f>
        <v/>
      </c>
      <c r="H14" t="inlineStr">
        <is>
          <t>Hugo</t>
        </is>
      </c>
      <c r="J14" s="30" t="inlineStr">
        <is>
          <t>Marlen</t>
        </is>
      </c>
      <c r="K14" s="31">
        <f>IF(J10&lt;=690000,0,IF(J10&lt;=890000,J10*0.005,IF(J10&lt;=1090000,J10*0.01,IF(J10&lt;=1290000,J10*0.014,J10*0.0148))))</f>
        <v/>
      </c>
    </row>
    <row r="15" ht="15" customHeight="1">
      <c r="A15" t="inlineStr">
        <is>
          <t>11/03/2026</t>
        </is>
      </c>
      <c r="B15" s="5" t="inlineStr">
        <is>
          <t>Elizabeth - ACURA</t>
        </is>
      </c>
      <c r="C15" s="5" t="inlineStr">
        <is>
          <t>Saldo - Regulador - RM-042N-220 - 4 KVA - Bifásico</t>
        </is>
      </c>
      <c r="D15" s="6" t="n">
        <v>23730.48372382365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11/03/2026</t>
        </is>
      </c>
      <c r="B16" s="5" t="inlineStr">
        <is>
          <t>Emiliano Castro - ACME</t>
        </is>
      </c>
      <c r="C16" s="5" t="inlineStr">
        <is>
          <t>Regulador - RM-042N-220 - 4 KVA - Bifásico</t>
        </is>
      </c>
      <c r="D16" s="6" t="n">
        <v>47291.04</v>
      </c>
      <c r="E16" s="6">
        <f>D16/1.16</f>
        <v/>
      </c>
      <c r="H16" t="inlineStr">
        <is>
          <t>Hugo</t>
        </is>
      </c>
    </row>
    <row r="17">
      <c r="A17" s="32" t="n"/>
      <c r="B17" s="32" t="n"/>
      <c r="C17" s="32" t="n"/>
      <c r="D17" s="33" t="inlineStr">
        <is>
          <t>TOTAL SIN IVA</t>
        </is>
      </c>
      <c r="E17" s="34">
        <f>SUM(E9:E16)</f>
        <v/>
      </c>
      <c r="F17" s="32" t="n"/>
      <c r="G17" s="32" t="n"/>
      <c r="H17" s="32" t="n"/>
    </row>
    <row r="18">
      <c r="D18" s="20" t="inlineStr">
        <is>
          <t>VENTAS MARZO</t>
        </is>
      </c>
      <c r="E18" s="21">
        <f>E17</f>
        <v/>
      </c>
    </row>
  </sheetData>
  <mergeCells count="14">
    <mergeCell ref="A5:A6"/>
    <mergeCell ref="G5:G6"/>
    <mergeCell ref="F9:F16"/>
    <mergeCell ref="A3:H3"/>
    <mergeCell ref="H5:H6"/>
    <mergeCell ref="G9:G16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5" t="inlineStr">
        <is>
          <t>Comisions Mensual Equipo de Comercializacion 2026</t>
        </is>
      </c>
    </row>
    <row r="2">
      <c r="A2" s="36" t="inlineStr">
        <is>
          <t>Reguladores Electrónicos, Equipos de EC, UPS, No Breaks, Plantas, Transformadores, Instalaciones</t>
        </is>
      </c>
    </row>
    <row r="4" ht="21" customHeight="1">
      <c r="A4" s="37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8" t="inlineStr">
        <is>
          <t>Fecha</t>
        </is>
      </c>
      <c r="B5" s="38" t="inlineStr">
        <is>
          <t>Cliente</t>
        </is>
      </c>
      <c r="C5" s="38" t="inlineStr">
        <is>
          <t>Concepto</t>
        </is>
      </c>
      <c r="D5" s="38" t="inlineStr">
        <is>
          <t>Deposito</t>
        </is>
      </c>
      <c r="E5" s="3" t="n"/>
      <c r="F5" s="38" t="inlineStr">
        <is>
          <t>Precio Proveedor</t>
        </is>
      </c>
      <c r="G5" s="3" t="n"/>
      <c r="H5" s="39" t="inlineStr">
        <is>
          <t>Base para
Comisión</t>
        </is>
      </c>
      <c r="I5" s="39" t="inlineStr">
        <is>
          <t>Comision</t>
        </is>
      </c>
      <c r="J5" s="39" t="inlineStr">
        <is>
          <t>Vendedor</t>
        </is>
      </c>
    </row>
    <row r="6">
      <c r="A6" s="3" t="n"/>
      <c r="B6" s="3" t="n"/>
      <c r="C6" s="3" t="n"/>
      <c r="D6" s="38" t="inlineStr">
        <is>
          <t>Con IVA</t>
        </is>
      </c>
      <c r="E6" s="38" t="inlineStr">
        <is>
          <t>Sin IVA</t>
        </is>
      </c>
      <c r="F6" s="38" t="inlineStr">
        <is>
          <t>Con IVA</t>
        </is>
      </c>
      <c r="G6" s="38" t="inlineStr">
        <is>
          <t>Sin IVA</t>
        </is>
      </c>
      <c r="H6" s="3" t="n"/>
      <c r="I6" s="3" t="n"/>
      <c r="J6" s="3" t="n"/>
    </row>
    <row r="7">
      <c r="A7" s="40" t="inlineStr">
        <is>
          <t>11/03/2026</t>
        </is>
      </c>
      <c r="B7" s="41" t="inlineStr">
        <is>
          <t>Emiliano Castro - ACME</t>
        </is>
      </c>
      <c r="C7" s="41" t="inlineStr">
        <is>
          <t>Saldo - UPS - UPS-1000VA - 1000VA</t>
        </is>
      </c>
      <c r="D7" s="42" t="n">
        <v>4613.036276176354</v>
      </c>
      <c r="E7" s="42">
        <f>D7/1.16</f>
        <v/>
      </c>
      <c r="F7" s="42" t="n">
        <v>4500</v>
      </c>
      <c r="G7" s="42">
        <f>F7/1.16</f>
        <v/>
      </c>
      <c r="H7" s="42">
        <f>E7-G7</f>
        <v/>
      </c>
      <c r="I7" s="42">
        <f>H7*0.05</f>
        <v/>
      </c>
      <c r="J7" s="43" t="inlineStr">
        <is>
          <t>Hugo</t>
        </is>
      </c>
    </row>
    <row r="8">
      <c r="A8" s="40" t="inlineStr">
        <is>
          <t>11/03/2026</t>
        </is>
      </c>
      <c r="B8" s="41" t="inlineStr">
        <is>
          <t>Emiliano Castro - ACME</t>
        </is>
      </c>
      <c r="C8" s="41" t="inlineStr">
        <is>
          <t>Anticipo - UPS - UPS-1000VA - 1000VA</t>
        </is>
      </c>
      <c r="D8" s="42" t="n">
        <v>4613.036276176354</v>
      </c>
      <c r="E8" s="42">
        <f>D8/1.16</f>
        <v/>
      </c>
      <c r="F8" s="42" t="n">
        <v>4500</v>
      </c>
      <c r="G8" s="42">
        <f>F8/1.16</f>
        <v/>
      </c>
      <c r="H8" s="42">
        <f>E8-G8</f>
        <v/>
      </c>
      <c r="I8" s="42">
        <f>H8*0.05</f>
        <v/>
      </c>
      <c r="J8" s="44" t="n"/>
    </row>
    <row r="9">
      <c r="A9" s="40" t="inlineStr">
        <is>
          <t>11/03/2026</t>
        </is>
      </c>
      <c r="B9" s="41" t="inlineStr">
        <is>
          <t>Emiliano Castro - ACME</t>
        </is>
      </c>
      <c r="C9" s="41" t="inlineStr">
        <is>
          <t>Saldo - UPS - UPS-1000VA - 1000VA</t>
        </is>
      </c>
      <c r="D9" s="42" t="n">
        <v>4613.036276176354</v>
      </c>
      <c r="E9" s="42">
        <f>D9/1.16</f>
        <v/>
      </c>
      <c r="F9" s="42" t="n">
        <v>4500</v>
      </c>
      <c r="G9" s="42">
        <f>F9/1.16</f>
        <v/>
      </c>
      <c r="H9" s="42">
        <f>E9-G9</f>
        <v/>
      </c>
      <c r="I9" s="42">
        <f>H9*0.05</f>
        <v/>
      </c>
      <c r="J9" s="44" t="n"/>
    </row>
    <row r="10">
      <c r="A10" s="40" t="inlineStr">
        <is>
          <t>11/03/2026</t>
        </is>
      </c>
      <c r="B10" s="41" t="inlineStr">
        <is>
          <t>Elizabeth - ACURA</t>
        </is>
      </c>
      <c r="C10" s="41" t="inlineStr">
        <is>
          <t>Anticipo - UPS - UPS-1000VA - 1000VA</t>
        </is>
      </c>
      <c r="D10" s="42" t="n">
        <v>4613.036276176354</v>
      </c>
      <c r="E10" s="42">
        <f>D10/1.16</f>
        <v/>
      </c>
      <c r="F10" s="42" t="n">
        <v>4500</v>
      </c>
      <c r="G10" s="42">
        <f>F10/1.16</f>
        <v/>
      </c>
      <c r="H10" s="42">
        <f>E10-G10</f>
        <v/>
      </c>
      <c r="I10" s="42">
        <f>H10*0.05</f>
        <v/>
      </c>
      <c r="J10" s="44" t="n"/>
    </row>
    <row r="11">
      <c r="A11" s="40" t="inlineStr">
        <is>
          <t>11/03/2026</t>
        </is>
      </c>
      <c r="B11" s="41" t="inlineStr">
        <is>
          <t>Elizabeth - ACURA</t>
        </is>
      </c>
      <c r="C11" s="41" t="inlineStr">
        <is>
          <t>Saldo - UPS - UPS-1000VA - 1000VA</t>
        </is>
      </c>
      <c r="D11" s="42" t="n">
        <v>4613.036276176354</v>
      </c>
      <c r="E11" s="42">
        <f>D11/1.16</f>
        <v/>
      </c>
      <c r="F11" s="42" t="n">
        <v>4500</v>
      </c>
      <c r="G11" s="42">
        <f>F11/1.16</f>
        <v/>
      </c>
      <c r="H11" s="42">
        <f>E11-G11</f>
        <v/>
      </c>
      <c r="I11" s="42">
        <f>H11*0.05</f>
        <v/>
      </c>
      <c r="J11" s="44" t="n"/>
    </row>
    <row r="12">
      <c r="A12" s="40" t="inlineStr">
        <is>
          <t>11/03/2026</t>
        </is>
      </c>
      <c r="B12" s="41" t="inlineStr">
        <is>
          <t>Elizabeth - ACURA</t>
        </is>
      </c>
      <c r="C12" s="41" t="inlineStr">
        <is>
          <t>Anticipo - UPS - UPS-1000VA - 1000VA</t>
        </is>
      </c>
      <c r="D12" s="42" t="n">
        <v>4613.036276176354</v>
      </c>
      <c r="E12" s="42">
        <f>D12/1.16</f>
        <v/>
      </c>
      <c r="F12" s="42" t="n">
        <v>4500</v>
      </c>
      <c r="G12" s="42">
        <f>F12/1.16</f>
        <v/>
      </c>
      <c r="H12" s="42">
        <f>E12-G12</f>
        <v/>
      </c>
      <c r="I12" s="42">
        <f>H12*0.05</f>
        <v/>
      </c>
      <c r="J12" s="44" t="n"/>
    </row>
    <row r="13">
      <c r="A13" s="40" t="inlineStr">
        <is>
          <t>11/03/2026</t>
        </is>
      </c>
      <c r="B13" s="41" t="inlineStr">
        <is>
          <t>Elizabeth - ACURA</t>
        </is>
      </c>
      <c r="C13" s="41" t="inlineStr">
        <is>
          <t>Saldo - UPS - UPS-1000VA - 1000VA</t>
        </is>
      </c>
      <c r="D13" s="42" t="n">
        <v>4613.036276176354</v>
      </c>
      <c r="E13" s="42">
        <f>D13/1.16</f>
        <v/>
      </c>
      <c r="F13" s="42" t="n">
        <v>4500</v>
      </c>
      <c r="G13" s="42">
        <f>F13/1.16</f>
        <v/>
      </c>
      <c r="H13" s="42">
        <f>E13-G13</f>
        <v/>
      </c>
      <c r="I13" s="42">
        <f>H13*0.05</f>
        <v/>
      </c>
      <c r="J13" s="44" t="n"/>
    </row>
    <row r="14">
      <c r="A14" s="45" t="n"/>
      <c r="B14" s="45" t="n"/>
      <c r="C14" s="45" t="n"/>
      <c r="D14" s="45" t="n"/>
      <c r="E14" s="45" t="n"/>
      <c r="F14" s="45" t="n"/>
      <c r="G14" s="45" t="n"/>
      <c r="H14" s="46" t="inlineStr">
        <is>
          <t>TOTAL</t>
        </is>
      </c>
      <c r="I14" s="47">
        <f>SUM(I7:I13)</f>
        <v/>
      </c>
      <c r="J14" s="48" t="n"/>
    </row>
    <row r="15">
      <c r="A15" s="49" t="n"/>
      <c r="B15" s="49" t="n"/>
      <c r="C15" s="49" t="n"/>
      <c r="D15" s="49" t="n"/>
      <c r="E15" s="49" t="n"/>
      <c r="F15" s="49" t="n"/>
      <c r="G15" s="49" t="n"/>
      <c r="H15" s="49" t="n"/>
      <c r="I15" s="49" t="n"/>
      <c r="J15" s="50" t="inlineStr">
        <is>
          <t>Marlen</t>
        </is>
      </c>
    </row>
    <row r="16">
      <c r="A16" s="51" t="n"/>
      <c r="B16" s="51" t="n"/>
      <c r="C16" s="51" t="n"/>
      <c r="D16" s="51" t="n"/>
      <c r="E16" s="51" t="n"/>
      <c r="F16" s="51" t="n"/>
      <c r="G16" s="51" t="n"/>
      <c r="H16" s="52" t="inlineStr">
        <is>
          <t>TOTAL</t>
        </is>
      </c>
      <c r="I16" s="53">
        <f>SUM(I15:I15)</f>
        <v/>
      </c>
      <c r="J16" s="54" t="n"/>
    </row>
  </sheetData>
  <mergeCells count="13">
    <mergeCell ref="A5:A6"/>
    <mergeCell ref="J15:J16"/>
    <mergeCell ref="A1:J1"/>
    <mergeCell ref="H5:H6"/>
    <mergeCell ref="J5:J6"/>
    <mergeCell ref="J7:J14"/>
    <mergeCell ref="F5:G5"/>
    <mergeCell ref="D5:E5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2026-03-12T05:44:35Z</dcterms:created>
  <dcterms:modified xsi:type="dcterms:W3CDTF">2026-03-12T05:44:35Z</dcterms:modified>
</cp:coreProperties>
</file>