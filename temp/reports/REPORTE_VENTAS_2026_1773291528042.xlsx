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SUMIF(H8:H36,J10,E8:E36)</f>
        <v/>
      </c>
      <c r="L10" s="14">
        <f>K10/E$37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SUMIF(H8:H36,J11,E8:E36)</f>
        <v/>
      </c>
      <c r="L11" s="14">
        <f>K11/E$37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E37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SUM(E19:E35)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Anticipo - Regulador - RM-042N-220 - 4 KVA - Bifásico + UPS - UPS-1000VA - 1000VA</t>
        </is>
      </c>
      <c r="D28" s="6" t="n">
        <v>28343.52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Emiliano Castro - ACME</t>
        </is>
      </c>
      <c r="C29" s="5" t="inlineStr">
        <is>
          <t>Saldo - Regulador - RM-042N-220 - 4 KVA - Bifásico + UPS - UPS-1000VA - 1000VA</t>
        </is>
      </c>
      <c r="D29" s="6" t="n">
        <v>28343.52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Emiliano Castro - ACME</t>
        </is>
      </c>
      <c r="C30" s="5" t="inlineStr">
        <is>
          <t>Anticipo - Regulador - RM-042N-220 - 4 KVA - Bifásico + UPS - UPS-1000VA - 1000VA</t>
        </is>
      </c>
      <c r="D30" s="6" t="n">
        <v>28343.52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11/03/2026</t>
        </is>
      </c>
      <c r="B31" s="5" t="inlineStr">
        <is>
          <t>Emiliano Castro - ACME</t>
        </is>
      </c>
      <c r="C31" s="5" t="inlineStr">
        <is>
          <t>Saldo - Regulador - RM-042N-220 - 4 KVA - Bifásico + UPS - UPS-1000VA - 1000VA</t>
        </is>
      </c>
      <c r="D31" s="6" t="n">
        <v>28343.52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11/03/2026</t>
        </is>
      </c>
      <c r="B32" s="5" t="inlineStr">
        <is>
          <t>Elizabeth - ACURA</t>
        </is>
      </c>
      <c r="C32" s="5" t="inlineStr">
        <is>
          <t>Anticipo - Regulador - RM-042N-220 - 4 KVA - Bifásico + UPS - UPS-1000VA - 1000VA</t>
        </is>
      </c>
      <c r="D32" s="6" t="n">
        <v>28343.52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11/03/2026</t>
        </is>
      </c>
      <c r="B33" s="5" t="inlineStr">
        <is>
          <t>Elizabeth - ACURA</t>
        </is>
      </c>
      <c r="C33" s="5" t="inlineStr">
        <is>
          <t>Saldo - Regulador - RM-042N-220 - 4 KVA - Bifásico + UPS - UPS-1000VA - 1000VA</t>
        </is>
      </c>
      <c r="D33" s="6" t="n">
        <v>28343.52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11/03/2026</t>
        </is>
      </c>
      <c r="B34" s="5" t="inlineStr">
        <is>
          <t>Elizabeth - ACURA</t>
        </is>
      </c>
      <c r="C34" s="5" t="inlineStr">
        <is>
          <t>Anticipo - Regulador - RM-042N-220 - 4 KVA - Bifásico + UPS - UPS-1000VA - 1000VA</t>
        </is>
      </c>
      <c r="D34" s="6" t="n">
        <v>28343.52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11/03/2026</t>
        </is>
      </c>
      <c r="B35" s="5" t="inlineStr">
        <is>
          <t>Elizabeth - ACURA</t>
        </is>
      </c>
      <c r="C35" s="5" t="inlineStr">
        <is>
          <t>Saldo - Regulador - RM-042N-220 - 4 KVA - Bifásico + UPS - UPS-1000VA - 1000VA</t>
        </is>
      </c>
      <c r="D35" s="6" t="n">
        <v>28343.52</v>
      </c>
      <c r="E35" s="6">
        <f>D35/1.16</f>
        <v/>
      </c>
      <c r="H35" t="inlineStr">
        <is>
          <t>Hugo</t>
        </is>
      </c>
    </row>
    <row r="36">
      <c r="A36" s="22" t="n"/>
      <c r="B36" s="22" t="n"/>
      <c r="C36" s="22" t="n"/>
      <c r="D36" s="23" t="inlineStr">
        <is>
          <t>TOTAL SIN IVA</t>
        </is>
      </c>
      <c r="E36" s="24">
        <f>SUM(E19:E35)</f>
        <v/>
      </c>
      <c r="F36" s="22" t="n"/>
      <c r="G36" s="22" t="n"/>
      <c r="H36" s="22" t="n"/>
    </row>
    <row r="37">
      <c r="D37" s="27" t="inlineStr">
        <is>
          <t>VENTAS MARZO</t>
        </is>
      </c>
      <c r="E37" s="28">
        <f>E18+E36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F19:F35"/>
    <mergeCell ref="J8:L8"/>
    <mergeCell ref="G19:G35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E34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SUM(E17:E32)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8886.24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Anticipo - Regulador - RM-042N-220 - 4 KVA - Bifásico</t>
        </is>
      </c>
      <c r="D25" s="6" t="n">
        <v>20834.1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Emiliano Castro - ACME</t>
        </is>
      </c>
      <c r="C26" s="5" t="inlineStr">
        <is>
          <t>Saldo - Regulador - RM-042N-220 - 4 KVA - Bifásico</t>
        </is>
      </c>
      <c r="D26" s="6" t="n">
        <v>2314.9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Emiliano Castro - ACME</t>
        </is>
      </c>
      <c r="C27" s="5" t="inlineStr">
        <is>
          <t>Anticipo - Regulador - RM-042N-220 - 4 KVA - Bifásico</t>
        </is>
      </c>
      <c r="D27" s="6" t="n">
        <v>20834.1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Saldo - Regulador - RM-042N-220 - 4 KVA - Bifásico</t>
        </is>
      </c>
      <c r="D28" s="6" t="n">
        <v>2314.9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Elizabeth - ACURA</t>
        </is>
      </c>
      <c r="C29" s="5" t="inlineStr">
        <is>
          <t>Anticipo - Regulador - RM-042N-220 - 4 KVA - Bifásico</t>
        </is>
      </c>
      <c r="D29" s="6" t="n">
        <v>20834.1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Elizabeth - ACURA</t>
        </is>
      </c>
      <c r="C30" s="5" t="inlineStr">
        <is>
          <t>Saldo - Regulador - RM-042N-220 - 4 KVA - Bifásico</t>
        </is>
      </c>
      <c r="D30" s="6" t="n">
        <v>2314.9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11/03/2026</t>
        </is>
      </c>
      <c r="B31" s="5" t="inlineStr">
        <is>
          <t>Elizabeth - ACURA</t>
        </is>
      </c>
      <c r="C31" s="5" t="inlineStr">
        <is>
          <t>Anticipo - Regulador - RM-042N-220 - 4 KVA - Bifásico</t>
        </is>
      </c>
      <c r="D31" s="6" t="n">
        <v>20834.1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11/03/2026</t>
        </is>
      </c>
      <c r="B32" s="5" t="inlineStr">
        <is>
          <t>Elizabeth - ACURA</t>
        </is>
      </c>
      <c r="C32" s="5" t="inlineStr">
        <is>
          <t>Saldo - Regulador - RM-042N-220 - 4 KVA - Bifásico</t>
        </is>
      </c>
      <c r="D32" s="6" t="n">
        <v>2314.9</v>
      </c>
      <c r="E32" s="6">
        <f>D32/1.16</f>
        <v/>
      </c>
      <c r="H32" t="inlineStr">
        <is>
          <t>Hugo</t>
        </is>
      </c>
    </row>
    <row r="33">
      <c r="A33" s="39" t="n"/>
      <c r="B33" s="39" t="n"/>
      <c r="C33" s="39" t="n"/>
      <c r="D33" s="40" t="inlineStr">
        <is>
          <t>TOTAL SIN IVA</t>
        </is>
      </c>
      <c r="E33" s="41">
        <f>SUM(E17:E32)</f>
        <v/>
      </c>
      <c r="F33" s="39" t="n"/>
      <c r="G33" s="39" t="n"/>
      <c r="H33" s="39" t="n"/>
    </row>
    <row r="34">
      <c r="D34" s="27" t="inlineStr">
        <is>
          <t>VENTAS MARZO</t>
        </is>
      </c>
      <c r="E34" s="28">
        <f>E16+E33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32"/>
    <mergeCell ref="A2:H2"/>
    <mergeCell ref="D5:E5"/>
    <mergeCell ref="G17:G32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8352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56687.04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56687.04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8352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28968.12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14484.06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14484.06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48" t="inlineStr">
        <is>
          <t>11/03/2026</t>
        </is>
      </c>
      <c r="B14" s="49" t="inlineStr">
        <is>
          <t>Emiliano Castro - ACME</t>
        </is>
      </c>
      <c r="C14" s="49" t="inlineStr">
        <is>
          <t>Anticipo - UPS - UPS-1000VA - 1000VA</t>
        </is>
      </c>
      <c r="D14" s="50" t="n">
        <v>28343.52</v>
      </c>
      <c r="E14" s="50">
        <f>D14/1.16</f>
        <v/>
      </c>
      <c r="F14" s="50" t="n">
        <v>4500</v>
      </c>
      <c r="G14" s="50">
        <f>F14/1.16</f>
        <v/>
      </c>
      <c r="H14" s="50">
        <f>E14-G14</f>
        <v/>
      </c>
      <c r="I14" s="50">
        <f>H14*0.05</f>
        <v/>
      </c>
      <c r="J14" s="10" t="n"/>
    </row>
    <row r="15">
      <c r="A15" s="48" t="inlineStr">
        <is>
          <t>11/03/2026</t>
        </is>
      </c>
      <c r="B15" s="49" t="inlineStr">
        <is>
          <t>Emiliano Castro - ACME</t>
        </is>
      </c>
      <c r="C15" s="49" t="inlineStr">
        <is>
          <t>Saldo - UPS - UPS-1000VA - 1000VA</t>
        </is>
      </c>
      <c r="D15" s="50" t="n">
        <v>28343.52</v>
      </c>
      <c r="E15" s="50">
        <f>D15/1.16</f>
        <v/>
      </c>
      <c r="F15" s="50" t="n">
        <v>4500</v>
      </c>
      <c r="G15" s="50">
        <f>F15/1.16</f>
        <v/>
      </c>
      <c r="H15" s="50">
        <f>E15-G15</f>
        <v/>
      </c>
      <c r="I15" s="50">
        <f>H15*0.05</f>
        <v/>
      </c>
      <c r="J15" s="10" t="n"/>
    </row>
    <row r="16">
      <c r="A16" s="48" t="inlineStr">
        <is>
          <t>11/03/2026</t>
        </is>
      </c>
      <c r="B16" s="49" t="inlineStr">
        <is>
          <t>Emiliano Castro - ACME</t>
        </is>
      </c>
      <c r="C16" s="49" t="inlineStr">
        <is>
          <t>Anticipo - UPS - UPS-1000VA - 1000VA</t>
        </is>
      </c>
      <c r="D16" s="50" t="n">
        <v>28343.52</v>
      </c>
      <c r="E16" s="50">
        <f>D16/1.16</f>
        <v/>
      </c>
      <c r="F16" s="50" t="n">
        <v>4500</v>
      </c>
      <c r="G16" s="50">
        <f>F16/1.16</f>
        <v/>
      </c>
      <c r="H16" s="50">
        <f>E16-G16</f>
        <v/>
      </c>
      <c r="I16" s="50">
        <f>H16*0.05</f>
        <v/>
      </c>
      <c r="J16" s="10" t="n"/>
    </row>
    <row r="17">
      <c r="A17" s="48" t="inlineStr">
        <is>
          <t>11/03/2026</t>
        </is>
      </c>
      <c r="B17" s="49" t="inlineStr">
        <is>
          <t>Emiliano Castro - ACME</t>
        </is>
      </c>
      <c r="C17" s="49" t="inlineStr">
        <is>
          <t>Saldo - UPS - UPS-1000VA - 1000VA</t>
        </is>
      </c>
      <c r="D17" s="50" t="n">
        <v>28343.52</v>
      </c>
      <c r="E17" s="50">
        <f>D17/1.16</f>
        <v/>
      </c>
      <c r="F17" s="50" t="n">
        <v>4500</v>
      </c>
      <c r="G17" s="50">
        <f>F17/1.16</f>
        <v/>
      </c>
      <c r="H17" s="50">
        <f>E17-G17</f>
        <v/>
      </c>
      <c r="I17" s="50">
        <f>H17*0.05</f>
        <v/>
      </c>
      <c r="J17" s="10" t="n"/>
    </row>
    <row r="18">
      <c r="A18" s="48" t="inlineStr">
        <is>
          <t>11/03/2026</t>
        </is>
      </c>
      <c r="B18" s="49" t="inlineStr">
        <is>
          <t>Elizabeth - ACURA</t>
        </is>
      </c>
      <c r="C18" s="49" t="inlineStr">
        <is>
          <t>Anticipo - UPS - UPS-1000VA - 1000VA</t>
        </is>
      </c>
      <c r="D18" s="50" t="n">
        <v>28343.52</v>
      </c>
      <c r="E18" s="50">
        <f>D18/1.16</f>
        <v/>
      </c>
      <c r="F18" s="50" t="n">
        <v>4500</v>
      </c>
      <c r="G18" s="50">
        <f>F18/1.16</f>
        <v/>
      </c>
      <c r="H18" s="50">
        <f>E18-G18</f>
        <v/>
      </c>
      <c r="I18" s="50">
        <f>H18*0.05</f>
        <v/>
      </c>
      <c r="J18" s="10" t="n"/>
    </row>
    <row r="19">
      <c r="A19" s="48" t="inlineStr">
        <is>
          <t>11/03/2026</t>
        </is>
      </c>
      <c r="B19" s="49" t="inlineStr">
        <is>
          <t>Elizabeth - ACURA</t>
        </is>
      </c>
      <c r="C19" s="49" t="inlineStr">
        <is>
          <t>Saldo - UPS - UPS-1000VA - 1000VA</t>
        </is>
      </c>
      <c r="D19" s="50" t="n">
        <v>28343.52</v>
      </c>
      <c r="E19" s="50">
        <f>D19/1.16</f>
        <v/>
      </c>
      <c r="F19" s="50" t="n">
        <v>4500</v>
      </c>
      <c r="G19" s="50">
        <f>F19/1.16</f>
        <v/>
      </c>
      <c r="H19" s="50">
        <f>E19-G19</f>
        <v/>
      </c>
      <c r="I19" s="50">
        <f>H19*0.05</f>
        <v/>
      </c>
      <c r="J19" s="10" t="n"/>
    </row>
    <row r="20">
      <c r="A20" s="48" t="inlineStr">
        <is>
          <t>11/03/2026</t>
        </is>
      </c>
      <c r="B20" s="49" t="inlineStr">
        <is>
          <t>Elizabeth - ACURA</t>
        </is>
      </c>
      <c r="C20" s="49" t="inlineStr">
        <is>
          <t>Anticipo - UPS - UPS-1000VA - 1000VA</t>
        </is>
      </c>
      <c r="D20" s="50" t="n">
        <v>28343.52</v>
      </c>
      <c r="E20" s="50">
        <f>D20/1.16</f>
        <v/>
      </c>
      <c r="F20" s="50" t="n">
        <v>4500</v>
      </c>
      <c r="G20" s="50">
        <f>F20/1.16</f>
        <v/>
      </c>
      <c r="H20" s="50">
        <f>E20-G20</f>
        <v/>
      </c>
      <c r="I20" s="50">
        <f>H20*0.05</f>
        <v/>
      </c>
      <c r="J20" s="10" t="n"/>
    </row>
    <row r="21">
      <c r="A21" s="48" t="inlineStr">
        <is>
          <t>11/03/2026</t>
        </is>
      </c>
      <c r="B21" s="49" t="inlineStr">
        <is>
          <t>Elizabeth - ACURA</t>
        </is>
      </c>
      <c r="C21" s="49" t="inlineStr">
        <is>
          <t>Saldo - UPS - UPS-1000VA - 1000VA</t>
        </is>
      </c>
      <c r="D21" s="50" t="n">
        <v>28343.52</v>
      </c>
      <c r="E21" s="50">
        <f>D21/1.16</f>
        <v/>
      </c>
      <c r="F21" s="50" t="n">
        <v>4500</v>
      </c>
      <c r="G21" s="50">
        <f>F21/1.16</f>
        <v/>
      </c>
      <c r="H21" s="50">
        <f>E21-G21</f>
        <v/>
      </c>
      <c r="I21" s="50">
        <f>H21*0.05</f>
        <v/>
      </c>
      <c r="J21" s="10" t="n"/>
    </row>
    <row r="22">
      <c r="A22" s="52" t="n"/>
      <c r="B22" s="52" t="n"/>
      <c r="C22" s="52" t="n"/>
      <c r="D22" s="52" t="n"/>
      <c r="E22" s="52" t="n"/>
      <c r="F22" s="52" t="n"/>
      <c r="G22" s="52" t="n"/>
      <c r="H22" s="53" t="inlineStr">
        <is>
          <t>TOTAL</t>
        </is>
      </c>
      <c r="I22" s="54">
        <f>SUM(I7:I21)</f>
        <v/>
      </c>
      <c r="J22" s="21" t="n"/>
    </row>
    <row r="23">
      <c r="A23" s="55" t="inlineStr">
        <is>
          <t>04/03/2026</t>
        </is>
      </c>
      <c r="B23" s="56" t="inlineStr">
        <is>
          <t>Roman - OFFICE DEPOT</t>
        </is>
      </c>
      <c r="C23" s="56" t="inlineStr">
        <is>
          <t>UPS-1000VA - 1000VA</t>
        </is>
      </c>
      <c r="D23" s="57" t="n">
        <v>8352</v>
      </c>
      <c r="E23" s="57">
        <f>D23/1.16</f>
        <v/>
      </c>
      <c r="F23" s="57" t="n">
        <v>0</v>
      </c>
      <c r="G23" s="57">
        <f>F23/1.16</f>
        <v/>
      </c>
      <c r="H23" s="57">
        <f>E23-G23</f>
        <v/>
      </c>
      <c r="I23" s="57">
        <f>H23*0.1</f>
        <v/>
      </c>
      <c r="J23" s="58" t="inlineStr">
        <is>
          <t>Marlen</t>
        </is>
      </c>
    </row>
    <row r="24">
      <c r="A24" s="59" t="n"/>
      <c r="B24" s="59" t="n"/>
      <c r="C24" s="59" t="n"/>
      <c r="D24" s="59" t="n"/>
      <c r="E24" s="59" t="n"/>
      <c r="F24" s="59" t="n"/>
      <c r="G24" s="59" t="n"/>
      <c r="H24" s="60" t="inlineStr">
        <is>
          <t>TOTAL</t>
        </is>
      </c>
      <c r="I24" s="61">
        <f>SUM(I23:I23)</f>
        <v/>
      </c>
      <c r="J24" s="21" t="n"/>
    </row>
  </sheetData>
  <mergeCells count="13">
    <mergeCell ref="A5:A6"/>
    <mergeCell ref="A1:J1"/>
    <mergeCell ref="H5:H6"/>
    <mergeCell ref="J5:J6"/>
    <mergeCell ref="F5:G5"/>
    <mergeCell ref="D5:E5"/>
    <mergeCell ref="J7:J22"/>
    <mergeCell ref="A4:J4"/>
    <mergeCell ref="A2:J2"/>
    <mergeCell ref="J23:J24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2026-03-12T04:58:48Z</dcterms:created>
  <dcterms:modified xsi:type="dcterms:W3CDTF">2026-03-12T04:58:48Z</dcterms:modified>
</cp:coreProperties>
</file>