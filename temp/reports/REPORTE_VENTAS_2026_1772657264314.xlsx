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b val="1"/>
      <sz val="11"/>
    </font>
    <font>
      <i val="1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8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SUM(E8:E18)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SUMIF(H8:H19,J10,E8:E19)</f>
        <v/>
      </c>
      <c r="L10" s="13">
        <f>K10/E$20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E20</f>
        <v/>
      </c>
      <c r="L11" s="16" t="n">
        <v>1</v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Elizabeth - ACURA</t>
        </is>
      </c>
      <c r="C18" s="5" t="inlineStr">
        <is>
          <t>Reparación - UPS-1000VA - 1000VA - 1000 V</t>
        </is>
      </c>
      <c r="D18" s="6" t="n">
        <v>5000</v>
      </c>
      <c r="E18" s="6">
        <f>D18/1.16</f>
        <v/>
      </c>
      <c r="H18" t="inlineStr">
        <is>
          <t>Hugo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>
      <c r="D20" s="20" t="inlineStr">
        <is>
          <t>VENTAS MARZO</t>
        </is>
      </c>
      <c r="E20" s="21">
        <f>E19</f>
        <v/>
      </c>
    </row>
  </sheetData>
  <mergeCells count="12">
    <mergeCell ref="A5:A6"/>
    <mergeCell ref="G5:G6"/>
    <mergeCell ref="H5:H6"/>
    <mergeCell ref="G8:G18"/>
    <mergeCell ref="F8:F18"/>
    <mergeCell ref="A7:H7"/>
    <mergeCell ref="A2:H2"/>
    <mergeCell ref="D5:E5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SUM(E9:E18)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E20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Elizabeth - ACURA</t>
        </is>
      </c>
      <c r="C18" s="5" t="inlineStr">
        <is>
          <t>Reparación - UPS-1000VA - 1000VA - 1000 V</t>
        </is>
      </c>
      <c r="D18" s="6" t="n">
        <v>5000</v>
      </c>
      <c r="E18" s="6">
        <f>D18/1.16</f>
        <v/>
      </c>
      <c r="H18" t="inlineStr">
        <is>
          <t>Hugo</t>
        </is>
      </c>
    </row>
    <row r="19">
      <c r="A19" s="32" t="n"/>
      <c r="B19" s="32" t="n"/>
      <c r="C19" s="32" t="n"/>
      <c r="D19" s="33" t="inlineStr">
        <is>
          <t>TOTAL SIN IVA</t>
        </is>
      </c>
      <c r="E19" s="34">
        <f>SUM(E9:E18)</f>
        <v/>
      </c>
      <c r="F19" s="32" t="n"/>
      <c r="G19" s="32" t="n"/>
      <c r="H19" s="32" t="n"/>
    </row>
    <row r="20">
      <c r="D20" s="20" t="inlineStr">
        <is>
          <t>VENTAS MARZO</t>
        </is>
      </c>
      <c r="E20" s="21">
        <f>E19</f>
        <v/>
      </c>
    </row>
  </sheetData>
  <mergeCells count="14">
    <mergeCell ref="A5:A6"/>
    <mergeCell ref="G5:G6"/>
    <mergeCell ref="A3:H3"/>
    <mergeCell ref="H5:H6"/>
    <mergeCell ref="F9:F18"/>
    <mergeCell ref="G9:G18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5" t="inlineStr">
        <is>
          <t>Comisions Mensual Equipo de Comercializa 2026</t>
        </is>
      </c>
    </row>
    <row r="2">
      <c r="A2" s="36" t="inlineStr">
        <is>
          <t>Reguladores Electrónicos, Equipos de EC, UPS, etc</t>
        </is>
      </c>
    </row>
    <row r="5">
      <c r="A5" s="37" t="inlineStr">
        <is>
          <t>Comisiones Equipos de Comercializacion - Hugo</t>
        </is>
      </c>
    </row>
    <row r="6">
      <c r="A6" s="38" t="inlineStr">
        <is>
          <t>Fecha</t>
        </is>
      </c>
      <c r="B6" s="38" t="inlineStr">
        <is>
          <t>Cliente</t>
        </is>
      </c>
      <c r="C6" s="38" t="inlineStr">
        <is>
          <t>Concepto</t>
        </is>
      </c>
      <c r="D6" s="38" t="inlineStr">
        <is>
          <t>Deposito</t>
        </is>
      </c>
      <c r="E6" s="38" t="inlineStr"/>
      <c r="F6" s="38" t="inlineStr">
        <is>
          <t>Precio Proveedor</t>
        </is>
      </c>
      <c r="G6" s="38" t="inlineStr"/>
      <c r="H6" s="38" t="inlineStr">
        <is>
          <t>Comision</t>
        </is>
      </c>
      <c r="I6" s="38" t="inlineStr"/>
      <c r="J6" s="38" t="inlineStr"/>
    </row>
    <row r="7">
      <c r="A7" t="inlineStr">
        <is>
          <t>03/03/2026</t>
        </is>
      </c>
      <c r="B7" t="inlineStr">
        <is>
          <t>Elizabeth</t>
        </is>
      </c>
      <c r="C7" t="inlineStr">
        <is>
          <t>RM-1003-460 - 100 KVA - Trifásico - 460 V</t>
        </is>
      </c>
      <c r="D7" t="n">
        <v>168421.5</v>
      </c>
      <c r="E7" t="n">
        <v>141474.06</v>
      </c>
      <c r="F7" t="n">
        <v>0</v>
      </c>
      <c r="G7" t="n">
        <v>0</v>
      </c>
      <c r="H7" t="n">
        <v>141474.06</v>
      </c>
      <c r="I7" t="n">
        <v>0</v>
      </c>
      <c r="J7" t="inlineStr">
        <is>
          <t>Hugo</t>
        </is>
      </c>
    </row>
    <row r="8">
      <c r="A8" t="inlineStr">
        <is>
          <t>03/03/2026</t>
        </is>
      </c>
      <c r="B8" t="inlineStr">
        <is>
          <t>Elizabeth</t>
        </is>
      </c>
      <c r="C8" t="inlineStr">
        <is>
          <t>RM-053-460 - 5 KVA - Trifásico - 460 V</t>
        </is>
      </c>
      <c r="D8" t="n">
        <v>47291.04</v>
      </c>
      <c r="E8" t="n">
        <v>39724.4736</v>
      </c>
      <c r="F8" t="n">
        <v>0</v>
      </c>
      <c r="G8" t="n">
        <v>0</v>
      </c>
      <c r="H8" t="n">
        <v>39724.4736</v>
      </c>
      <c r="I8" t="n">
        <v>0</v>
      </c>
      <c r="J8" t="inlineStr">
        <is>
          <t>Hugo</t>
        </is>
      </c>
    </row>
    <row r="9">
      <c r="A9" t="inlineStr">
        <is>
          <t>03/03/2026</t>
        </is>
      </c>
      <c r="B9" t="inlineStr">
        <is>
          <t>Roman</t>
        </is>
      </c>
      <c r="C9" t="inlineStr">
        <is>
          <t>RM-042N-220 - 4 KVA - Bifásico - 220 V</t>
        </is>
      </c>
      <c r="D9" t="n">
        <v>47291.04</v>
      </c>
      <c r="E9" t="n">
        <v>39724.4736</v>
      </c>
      <c r="F9" t="n">
        <v>0</v>
      </c>
      <c r="G9" t="n">
        <v>0</v>
      </c>
      <c r="H9" t="n">
        <v>39724.4736</v>
      </c>
      <c r="I9" t="n">
        <v>0</v>
      </c>
      <c r="J9" t="inlineStr">
        <is>
          <t>Hugo</t>
        </is>
      </c>
    </row>
    <row r="10">
      <c r="A10" t="inlineStr">
        <is>
          <t>03/03/2026</t>
        </is>
      </c>
      <c r="B10" t="inlineStr">
        <is>
          <t>Brandon Castro</t>
        </is>
      </c>
      <c r="C10" t="inlineStr">
        <is>
          <t>RM-053-460 - 5 KVA - Trifásico - 460 V</t>
        </is>
      </c>
      <c r="D10" t="n">
        <v>47291.04</v>
      </c>
      <c r="E10" t="n">
        <v>39724.4736</v>
      </c>
      <c r="F10" t="n">
        <v>0</v>
      </c>
      <c r="G10" t="n">
        <v>0</v>
      </c>
      <c r="H10" t="n">
        <v>39724.4736</v>
      </c>
      <c r="I10" t="n">
        <v>0</v>
      </c>
      <c r="J10" t="inlineStr">
        <is>
          <t>Hugo</t>
        </is>
      </c>
    </row>
    <row r="11">
      <c r="A11" t="inlineStr">
        <is>
          <t>03/03/2026</t>
        </is>
      </c>
      <c r="B11" t="inlineStr">
        <is>
          <t>Elizabeth</t>
        </is>
      </c>
      <c r="C11" t="inlineStr">
        <is>
          <t>Reparación - RM-053-380 - 5 KVA - Trifásico - 380 V</t>
        </is>
      </c>
      <c r="D11" t="n">
        <v>50000</v>
      </c>
      <c r="E11" t="n">
        <v>42000</v>
      </c>
      <c r="F11" t="n">
        <v>0</v>
      </c>
      <c r="G11" t="n">
        <v>0</v>
      </c>
      <c r="H11" t="n">
        <v>42000</v>
      </c>
      <c r="I11" t="n">
        <v>0</v>
      </c>
      <c r="J11" t="inlineStr">
        <is>
          <t>Hugo</t>
        </is>
      </c>
    </row>
    <row r="12">
      <c r="A12" t="inlineStr">
        <is>
          <t>03/03/2026</t>
        </is>
      </c>
      <c r="B12" t="inlineStr">
        <is>
          <t>Elizabeth</t>
        </is>
      </c>
      <c r="C12" t="inlineStr">
        <is>
          <t>Mantenimiento - RM-051-120 - 5 KVA - Monofásico - 120 V</t>
        </is>
      </c>
      <c r="D12" t="n">
        <v>150000</v>
      </c>
      <c r="E12" t="n">
        <v>126000</v>
      </c>
      <c r="F12" t="n">
        <v>0</v>
      </c>
      <c r="G12" t="n">
        <v>0</v>
      </c>
      <c r="H12" t="n">
        <v>126000</v>
      </c>
      <c r="I12" t="n">
        <v>0</v>
      </c>
      <c r="J12" t="inlineStr">
        <is>
          <t>Hugo</t>
        </is>
      </c>
    </row>
    <row r="13">
      <c r="A13" t="inlineStr">
        <is>
          <t>03/03/2026</t>
        </is>
      </c>
      <c r="B13" t="inlineStr">
        <is>
          <t>Brandon Castro</t>
        </is>
      </c>
      <c r="C13" t="inlineStr">
        <is>
          <t>Anticipo - RM-053-480 - 5 KVA - Trifásico - 480 V</t>
        </is>
      </c>
      <c r="D13" t="n">
        <v>908080</v>
      </c>
      <c r="E13" t="n">
        <v>762787.2</v>
      </c>
      <c r="F13" t="n">
        <v>0</v>
      </c>
      <c r="G13" t="n">
        <v>0</v>
      </c>
      <c r="H13" t="n">
        <v>762787.2</v>
      </c>
      <c r="I13" t="n">
        <v>0</v>
      </c>
      <c r="J13" t="inlineStr">
        <is>
          <t>Hugo</t>
        </is>
      </c>
    </row>
    <row r="14">
      <c r="A14" t="inlineStr">
        <is>
          <t>03/03/2026</t>
        </is>
      </c>
      <c r="B14" t="inlineStr">
        <is>
          <t>Elizabeth</t>
        </is>
      </c>
      <c r="C14" t="inlineStr">
        <is>
          <t>RM-051-127 - 5 KVA - Monofásico - 127 V</t>
        </is>
      </c>
      <c r="D14" t="n">
        <v>19403.28</v>
      </c>
      <c r="E14" t="n">
        <v>16298.7552</v>
      </c>
      <c r="F14" t="n">
        <v>0</v>
      </c>
      <c r="G14" t="n">
        <v>0</v>
      </c>
      <c r="H14" t="n">
        <v>16298.7552</v>
      </c>
      <c r="I14" t="n">
        <v>0</v>
      </c>
      <c r="J14" t="inlineStr">
        <is>
          <t>Hugo</t>
        </is>
      </c>
    </row>
    <row r="15">
      <c r="A15" t="inlineStr">
        <is>
          <t>04/03/2026</t>
        </is>
      </c>
      <c r="B15" t="inlineStr">
        <is>
          <t>Elizabeth</t>
        </is>
      </c>
      <c r="C15" t="inlineStr">
        <is>
          <t>RM-053-220 - 5 KVA - Trifásico - 220 V</t>
        </is>
      </c>
      <c r="D15" t="n">
        <v>95626.25999999999</v>
      </c>
      <c r="E15" t="n">
        <v>80326.05839999999</v>
      </c>
      <c r="F15" t="n">
        <v>0</v>
      </c>
      <c r="G15" t="n">
        <v>0</v>
      </c>
      <c r="H15" t="n">
        <v>80326.05839999999</v>
      </c>
      <c r="I15" t="n">
        <v>0</v>
      </c>
      <c r="J15" t="inlineStr">
        <is>
          <t>Hugo</t>
        </is>
      </c>
    </row>
    <row r="16">
      <c r="A16" t="inlineStr">
        <is>
          <t>04/03/2026</t>
        </is>
      </c>
      <c r="B16" t="inlineStr">
        <is>
          <t>Elizabeth</t>
        </is>
      </c>
      <c r="C16" t="inlineStr">
        <is>
          <t>Reparación - UPS-1000VA - 1000VA - 1000 V</t>
        </is>
      </c>
      <c r="D16" t="n">
        <v>5000</v>
      </c>
      <c r="E16" t="n">
        <v>4200</v>
      </c>
      <c r="F16" t="n">
        <v>0</v>
      </c>
      <c r="G16" t="n">
        <v>0</v>
      </c>
      <c r="H16" t="n">
        <v>4200</v>
      </c>
      <c r="I16" t="n">
        <v>0</v>
      </c>
      <c r="J16" t="inlineStr">
        <is>
          <t>Hugo</t>
        </is>
      </c>
    </row>
    <row r="17">
      <c r="H17" s="39" t="inlineStr">
        <is>
          <t>TOTAL</t>
        </is>
      </c>
      <c r="I17" s="40" t="n">
        <v>0</v>
      </c>
    </row>
  </sheetData>
  <mergeCells count="1">
    <mergeCell ref="A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2026-03-04T20:47:44Z</dcterms:created>
  <dcterms:modified xsi:type="dcterms:W3CDTF">2026-03-04T20:47:44Z</dcterms:modified>
</cp:coreProperties>
</file>