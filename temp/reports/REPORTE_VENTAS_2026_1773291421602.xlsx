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SUMIF(H8:H34,J10,E8:E34)</f>
        <v/>
      </c>
      <c r="L10" s="14">
        <f>K10/E$35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SUMIF(H8:H34,J11,E8:E34)</f>
        <v/>
      </c>
      <c r="L11" s="14">
        <f>K11/E$35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E35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SUM(E19:E33)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Anticipo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Emiliano Castro - ACME</t>
        </is>
      </c>
      <c r="C29" s="5" t="inlineStr">
        <is>
          <t>Saldo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Emiliano Castro - ACME</t>
        </is>
      </c>
      <c r="C30" s="5" t="inlineStr">
        <is>
          <t>Anticipo - Regulador - RM-042N-220 - 4 KVA - Bifásico + UPS - UPS-1000VA - 1000VA</t>
        </is>
      </c>
      <c r="D30" s="6" t="n">
        <v>28343.52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Emiliano Castro - ACME</t>
        </is>
      </c>
      <c r="C31" s="5" t="inlineStr">
        <is>
          <t>Saldo - Regulador - RM-042N-220 - 4 KVA - Bifásico + UPS - UPS-1000VA - 1000VA</t>
        </is>
      </c>
      <c r="D31" s="6" t="n">
        <v>28343.52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11/03/2026</t>
        </is>
      </c>
      <c r="B32" s="5" t="inlineStr">
        <is>
          <t>Elizabeth - ACURA</t>
        </is>
      </c>
      <c r="C32" s="5" t="inlineStr">
        <is>
          <t>Anticipo - Regulador - RM-042N-220 - 4 KVA - Bifásico + UPS - UPS-1000VA - 1000VA</t>
        </is>
      </c>
      <c r="D32" s="6" t="n">
        <v>28343.52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11/03/2026</t>
        </is>
      </c>
      <c r="B33" s="5" t="inlineStr">
        <is>
          <t>Elizabeth - ACURA</t>
        </is>
      </c>
      <c r="C33" s="5" t="inlineStr">
        <is>
          <t>Saldo - Regulador - RM-042N-220 - 4 KVA - Bifásico + UPS - UPS-1000VA - 1000VA</t>
        </is>
      </c>
      <c r="D33" s="6" t="n">
        <v>28343.52</v>
      </c>
      <c r="E33" s="6">
        <f>D33/1.16</f>
        <v/>
      </c>
      <c r="H33" t="inlineStr">
        <is>
          <t>Hugo</t>
        </is>
      </c>
    </row>
    <row r="34">
      <c r="A34" s="22" t="n"/>
      <c r="B34" s="22" t="n"/>
      <c r="C34" s="22" t="n"/>
      <c r="D34" s="23" t="inlineStr">
        <is>
          <t>TOTAL SIN IVA</t>
        </is>
      </c>
      <c r="E34" s="24">
        <f>SUM(E19:E33)</f>
        <v/>
      </c>
      <c r="F34" s="22" t="n"/>
      <c r="G34" s="22" t="n"/>
      <c r="H34" s="22" t="n"/>
    </row>
    <row r="35">
      <c r="D35" s="27" t="inlineStr">
        <is>
          <t>VENTAS MARZO</t>
        </is>
      </c>
      <c r="E35" s="28">
        <f>E18+E34</f>
        <v/>
      </c>
    </row>
  </sheetData>
  <mergeCells count="14">
    <mergeCell ref="A5:A6"/>
    <mergeCell ref="G5:G6"/>
    <mergeCell ref="F8:F17"/>
    <mergeCell ref="H5:H6"/>
    <mergeCell ref="A7:H7"/>
    <mergeCell ref="A2:H2"/>
    <mergeCell ref="F19:F33"/>
    <mergeCell ref="D5:E5"/>
    <mergeCell ref="G8:G17"/>
    <mergeCell ref="J8:L8"/>
    <mergeCell ref="F5:F6"/>
    <mergeCell ref="G19:G33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E32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SUM(E17:E30)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</t>
        </is>
      </c>
      <c r="D25" s="6" t="n">
        <v>20834.1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</t>
        </is>
      </c>
      <c r="D26" s="6" t="n">
        <v>2314.9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Emiliano Castro - ACME</t>
        </is>
      </c>
      <c r="C27" s="5" t="inlineStr">
        <is>
          <t>Anticipo - Regulador - RM-042N-220 - 4 KVA - Bifásico</t>
        </is>
      </c>
      <c r="D27" s="6" t="n">
        <v>20834.1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Saldo - Regulador - RM-042N-220 - 4 KVA - Bifásico</t>
        </is>
      </c>
      <c r="D28" s="6" t="n">
        <v>2314.9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Elizabeth - ACURA</t>
        </is>
      </c>
      <c r="C29" s="5" t="inlineStr">
        <is>
          <t>Anticipo - Regulador - RM-042N-220 - 4 KVA - Bifásico</t>
        </is>
      </c>
      <c r="D29" s="6" t="n">
        <v>20834.1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Elizabeth - ACURA</t>
        </is>
      </c>
      <c r="C30" s="5" t="inlineStr">
        <is>
          <t>Saldo - Regulador - RM-042N-220 - 4 KVA - Bifásico</t>
        </is>
      </c>
      <c r="D30" s="6" t="n">
        <v>2314.9</v>
      </c>
      <c r="E30" s="6">
        <f>D30/1.16</f>
        <v/>
      </c>
      <c r="H30" t="inlineStr">
        <is>
          <t>Hugo</t>
        </is>
      </c>
    </row>
    <row r="31">
      <c r="A31" s="39" t="n"/>
      <c r="B31" s="39" t="n"/>
      <c r="C31" s="39" t="n"/>
      <c r="D31" s="40" t="inlineStr">
        <is>
          <t>TOTAL SIN IVA</t>
        </is>
      </c>
      <c r="E31" s="41">
        <f>SUM(E17:E30)</f>
        <v/>
      </c>
      <c r="F31" s="39" t="n"/>
      <c r="G31" s="39" t="n"/>
      <c r="H31" s="39" t="n"/>
    </row>
    <row r="32">
      <c r="D32" s="27" t="inlineStr">
        <is>
          <t>VENTAS MARZO</t>
        </is>
      </c>
      <c r="E32" s="28">
        <f>E16+E31</f>
        <v/>
      </c>
    </row>
  </sheetData>
  <mergeCells count="16">
    <mergeCell ref="A5:A6"/>
    <mergeCell ref="G5:G6"/>
    <mergeCell ref="G9:G15"/>
    <mergeCell ref="A3:H3"/>
    <mergeCell ref="H5:H6"/>
    <mergeCell ref="F9:F15"/>
    <mergeCell ref="G17:G30"/>
    <mergeCell ref="F17:F30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8352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56687.04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56687.04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8352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28968.12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14484.06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14484.06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Anticipo - UPS - UPS-1000VA - 1000VA</t>
        </is>
      </c>
      <c r="D14" s="50" t="n">
        <v>28343.52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Saldo - UPS - UPS-1000VA - 1000VA</t>
        </is>
      </c>
      <c r="D15" s="50" t="n">
        <v>28343.52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48" t="inlineStr">
        <is>
          <t>11/03/2026</t>
        </is>
      </c>
      <c r="B16" s="49" t="inlineStr">
        <is>
          <t>Emiliano Castro - ACME</t>
        </is>
      </c>
      <c r="C16" s="49" t="inlineStr">
        <is>
          <t>Anticipo - UPS - UPS-1000VA - 1000VA</t>
        </is>
      </c>
      <c r="D16" s="50" t="n">
        <v>28343.52</v>
      </c>
      <c r="E16" s="50">
        <f>D16/1.16</f>
        <v/>
      </c>
      <c r="F16" s="50" t="n">
        <v>4500</v>
      </c>
      <c r="G16" s="50">
        <f>F16/1.16</f>
        <v/>
      </c>
      <c r="H16" s="50">
        <f>E16-G16</f>
        <v/>
      </c>
      <c r="I16" s="50">
        <f>H16*0.05</f>
        <v/>
      </c>
      <c r="J16" s="10" t="n"/>
    </row>
    <row r="17">
      <c r="A17" s="48" t="inlineStr">
        <is>
          <t>11/03/2026</t>
        </is>
      </c>
      <c r="B17" s="49" t="inlineStr">
        <is>
          <t>Emiliano Castro - ACME</t>
        </is>
      </c>
      <c r="C17" s="49" t="inlineStr">
        <is>
          <t>Saldo - UPS - UPS-1000VA - 1000VA</t>
        </is>
      </c>
      <c r="D17" s="50" t="n">
        <v>28343.52</v>
      </c>
      <c r="E17" s="50">
        <f>D17/1.16</f>
        <v/>
      </c>
      <c r="F17" s="50" t="n">
        <v>4500</v>
      </c>
      <c r="G17" s="50">
        <f>F17/1.16</f>
        <v/>
      </c>
      <c r="H17" s="50">
        <f>E17-G17</f>
        <v/>
      </c>
      <c r="I17" s="50">
        <f>H17*0.05</f>
        <v/>
      </c>
      <c r="J17" s="10" t="n"/>
    </row>
    <row r="18">
      <c r="A18" s="48" t="inlineStr">
        <is>
          <t>11/03/2026</t>
        </is>
      </c>
      <c r="B18" s="49" t="inlineStr">
        <is>
          <t>Elizabeth - ACURA</t>
        </is>
      </c>
      <c r="C18" s="49" t="inlineStr">
        <is>
          <t>Anticipo - UPS - UPS-1000VA - 1000VA</t>
        </is>
      </c>
      <c r="D18" s="50" t="n">
        <v>28343.52</v>
      </c>
      <c r="E18" s="50">
        <f>D18/1.16</f>
        <v/>
      </c>
      <c r="F18" s="50" t="n">
        <v>4500</v>
      </c>
      <c r="G18" s="50">
        <f>F18/1.16</f>
        <v/>
      </c>
      <c r="H18" s="50">
        <f>E18-G18</f>
        <v/>
      </c>
      <c r="I18" s="50">
        <f>H18*0.05</f>
        <v/>
      </c>
      <c r="J18" s="10" t="n"/>
    </row>
    <row r="19">
      <c r="A19" s="48" t="inlineStr">
        <is>
          <t>11/03/2026</t>
        </is>
      </c>
      <c r="B19" s="49" t="inlineStr">
        <is>
          <t>Elizabeth - ACURA</t>
        </is>
      </c>
      <c r="C19" s="49" t="inlineStr">
        <is>
          <t>Saldo - UPS - UPS-1000VA - 1000VA</t>
        </is>
      </c>
      <c r="D19" s="50" t="n">
        <v>28343.52</v>
      </c>
      <c r="E19" s="50">
        <f>D19/1.16</f>
        <v/>
      </c>
      <c r="F19" s="50" t="n">
        <v>4500</v>
      </c>
      <c r="G19" s="50">
        <f>F19/1.16</f>
        <v/>
      </c>
      <c r="H19" s="50">
        <f>E19-G19</f>
        <v/>
      </c>
      <c r="I19" s="50">
        <f>H19*0.05</f>
        <v/>
      </c>
      <c r="J19" s="10" t="n"/>
    </row>
    <row r="20">
      <c r="A20" s="52" t="n"/>
      <c r="B20" s="52" t="n"/>
      <c r="C20" s="52" t="n"/>
      <c r="D20" s="52" t="n"/>
      <c r="E20" s="52" t="n"/>
      <c r="F20" s="52" t="n"/>
      <c r="G20" s="52" t="n"/>
      <c r="H20" s="53" t="inlineStr">
        <is>
          <t>TOTAL</t>
        </is>
      </c>
      <c r="I20" s="54">
        <f>SUM(I7:I19)</f>
        <v/>
      </c>
      <c r="J20" s="21" t="n"/>
    </row>
    <row r="21">
      <c r="A21" s="55" t="inlineStr">
        <is>
          <t>04/03/2026</t>
        </is>
      </c>
      <c r="B21" s="56" t="inlineStr">
        <is>
          <t>Roman - OFFICE DEPOT</t>
        </is>
      </c>
      <c r="C21" s="56" t="inlineStr">
        <is>
          <t>UPS-1000VA - 1000VA</t>
        </is>
      </c>
      <c r="D21" s="57" t="n">
        <v>8352</v>
      </c>
      <c r="E21" s="57">
        <f>D21/1.16</f>
        <v/>
      </c>
      <c r="F21" s="57" t="n">
        <v>0</v>
      </c>
      <c r="G21" s="57">
        <f>F21/1.16</f>
        <v/>
      </c>
      <c r="H21" s="57">
        <f>E21-G21</f>
        <v/>
      </c>
      <c r="I21" s="57">
        <f>H21*0.1</f>
        <v/>
      </c>
      <c r="J21" s="58" t="inlineStr">
        <is>
          <t>Marlen</t>
        </is>
      </c>
    </row>
    <row r="22">
      <c r="A22" s="59" t="n"/>
      <c r="B22" s="59" t="n"/>
      <c r="C22" s="59" t="n"/>
      <c r="D22" s="59" t="n"/>
      <c r="E22" s="59" t="n"/>
      <c r="F22" s="59" t="n"/>
      <c r="G22" s="59" t="n"/>
      <c r="H22" s="60" t="inlineStr">
        <is>
          <t>TOTAL</t>
        </is>
      </c>
      <c r="I22" s="61">
        <f>SUM(I21:I21)</f>
        <v/>
      </c>
      <c r="J22" s="21" t="n"/>
    </row>
  </sheetData>
  <mergeCells count="13">
    <mergeCell ref="A5:A6"/>
    <mergeCell ref="A1:J1"/>
    <mergeCell ref="H5:H6"/>
    <mergeCell ref="J5:J6"/>
    <mergeCell ref="F5:G5"/>
    <mergeCell ref="D5:E5"/>
    <mergeCell ref="A4:J4"/>
    <mergeCell ref="J21:J22"/>
    <mergeCell ref="A2:J2"/>
    <mergeCell ref="J7:J20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2026-03-12T04:57:02Z</dcterms:created>
  <dcterms:modified xsi:type="dcterms:W3CDTF">2026-03-12T04:57:02Z</dcterms:modified>
</cp:coreProperties>
</file>