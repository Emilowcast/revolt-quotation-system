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7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0" fontId="4" fillId="6" borderId="1" pivotButton="0" quotePrefix="0" xfId="0"/>
    <xf numFmtId="0" fontId="0" fillId="4" borderId="0" pivotButton="0" quotePrefix="0" xfId="0"/>
    <xf numFmtId="0" fontId="5" fillId="4" borderId="0" applyAlignment="1" pivotButton="0" quotePrefix="0" xfId="0">
      <alignment horizontal="right" vertical="center"/>
    </xf>
    <xf numFmtId="164" fontId="5" fillId="4" borderId="0" pivotButton="0" quotePrefix="0" xfId="0"/>
    <xf numFmtId="0" fontId="2" fillId="5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164" fontId="11" fillId="1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0" borderId="0" pivotButton="0" quotePrefix="0" xfId="0"/>
    <xf numFmtId="0" fontId="5" fillId="10" borderId="0" applyAlignment="1" pivotButton="0" quotePrefix="0" xfId="0">
      <alignment horizontal="right" vertical="center"/>
    </xf>
    <xf numFmtId="164" fontId="5" fillId="10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1" borderId="1" applyAlignment="1" pivotButton="0" quotePrefix="0" xfId="0">
      <alignment horizontal="right" vertical="center"/>
    </xf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vertical="top" wrapText="1"/>
    </xf>
    <xf numFmtId="164" fontId="7" fillId="13" borderId="1" pivotButton="0" quotePrefix="0" xfId="0"/>
    <xf numFmtId="0" fontId="4" fillId="1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4" borderId="1" pivotButton="0" quotePrefix="0" xfId="0"/>
    <xf numFmtId="0" fontId="4" fillId="14" borderId="1" applyAlignment="1" pivotButton="0" quotePrefix="0" xfId="0">
      <alignment horizontal="right" vertical="center"/>
    </xf>
    <xf numFmtId="164" fontId="4" fillId="14" borderId="1" pivotButton="0" quotePrefix="0" xfId="0"/>
    <xf numFmtId="0" fontId="0" fillId="0" borderId="2" pivotButton="0" quotePrefix="0" xfId="0"/>
    <xf numFmtId="0" fontId="0" fillId="15" borderId="1" pivotButton="0" quotePrefix="0" xfId="0"/>
    <xf numFmtId="0" fontId="4" fillId="15" borderId="1" applyAlignment="1" pivotButton="0" quotePrefix="0" xfId="0">
      <alignment horizontal="center" vertical="center"/>
    </xf>
    <xf numFmtId="0" fontId="0" fillId="16" borderId="1" pivotButton="0" quotePrefix="0" xfId="0"/>
    <xf numFmtId="0" fontId="4" fillId="16" borderId="1" applyAlignment="1" pivotButton="0" quotePrefix="0" xfId="0">
      <alignment horizontal="right" vertical="center"/>
    </xf>
    <xf numFmtId="164" fontId="4" fillId="16" borderId="1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4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11/03/2026</t>
        </is>
      </c>
      <c r="B8" s="5" t="inlineStr">
        <is>
          <t>Emiliano Castro - ACME</t>
        </is>
      </c>
      <c r="C8" s="5" t="inlineStr">
        <is>
          <t>Saldo - Regulador - RM-042N-220 - 4 KVA - Bifásico + UPS - UPS-1000VA - 1000VA</t>
        </is>
      </c>
      <c r="D8" s="6" t="n">
        <v>28343.52</v>
      </c>
      <c r="E8" s="6">
        <f>D8/1.16</f>
        <v/>
      </c>
      <c r="F8" s="7">
        <f>SUM(E8:E18)</f>
        <v/>
      </c>
      <c r="G8" s="8" t="inlineStr">
        <is>
          <t>Semana 2 (13-mar)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11/03/2026</t>
        </is>
      </c>
      <c r="B9" s="5" t="inlineStr">
        <is>
          <t>Emiliano Castro - ACME</t>
        </is>
      </c>
      <c r="C9" s="5" t="inlineStr">
        <is>
          <t>Anticipo - Regulador - RM-042N-220 - 4 KVA - Bifásico + UPS - UPS-1000VA - 1000VA</t>
        </is>
      </c>
      <c r="D9" s="6" t="n">
        <v>28343.52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11/03/2026</t>
        </is>
      </c>
      <c r="B10" s="5" t="inlineStr">
        <is>
          <t>Emiliano Castro - ACME</t>
        </is>
      </c>
      <c r="C10" s="5" t="inlineStr">
        <is>
          <t>Saldo - Regulador - RM-042N-220 - 4 KVA - Bifásico + UPS - UPS-1000VA - 1000VA</t>
        </is>
      </c>
      <c r="D10" s="6" t="n">
        <v>28343.52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SUMIF(H8:H72,J10,E8:E72)</f>
        <v/>
      </c>
      <c r="L10" s="13">
        <f>K10/E$73</f>
        <v/>
      </c>
    </row>
    <row r="11" ht="15" customHeight="1">
      <c r="A11" t="inlineStr">
        <is>
          <t>11/03/2026</t>
        </is>
      </c>
      <c r="B11" s="5" t="inlineStr">
        <is>
          <t>Elizabeth - ACURA</t>
        </is>
      </c>
      <c r="C11" s="5" t="inlineStr">
        <is>
          <t>Anticipo - Regulador - RM-042N-220 - 4 KVA - Bifásico + UPS - UPS-1000VA - 1000VA</t>
        </is>
      </c>
      <c r="D11" s="6" t="n">
        <v>28343.52</v>
      </c>
      <c r="E11" s="6">
        <f>D11/1.16</f>
        <v/>
      </c>
      <c r="H11" t="inlineStr">
        <is>
          <t>Hugo</t>
        </is>
      </c>
      <c r="J11" s="14" t="inlineStr">
        <is>
          <t>Total</t>
        </is>
      </c>
      <c r="K11" s="15">
        <f>E73</f>
        <v/>
      </c>
      <c r="L11" s="16" t="n">
        <v>1</v>
      </c>
    </row>
    <row r="12" ht="15" customHeight="1">
      <c r="A12" t="inlineStr">
        <is>
          <t>11/03/2026</t>
        </is>
      </c>
      <c r="B12" s="5" t="inlineStr">
        <is>
          <t>Elizabeth - ACURA</t>
        </is>
      </c>
      <c r="C12" s="5" t="inlineStr">
        <is>
          <t>Saldo - Regulador - RM-042N-220 - 4 KVA - Bifásico + UPS - UPS-1000VA - 1000VA</t>
        </is>
      </c>
      <c r="D12" s="6" t="n">
        <v>28343.52</v>
      </c>
      <c r="E12" s="6">
        <f>D12/1.16</f>
        <v/>
      </c>
      <c r="H12" t="inlineStr">
        <is>
          <t>Hugo</t>
        </is>
      </c>
    </row>
    <row r="13" ht="15" customHeight="1">
      <c r="A13" t="inlineStr">
        <is>
          <t>11/03/2026</t>
        </is>
      </c>
      <c r="B13" s="5" t="inlineStr">
        <is>
          <t>Elizabeth - ACURA</t>
        </is>
      </c>
      <c r="C13" s="5" t="inlineStr">
        <is>
          <t>Anticipo - Regulador - RM-042N-220 - 4 KVA - Bifásico + UPS - UPS-1000VA - 1000VA</t>
        </is>
      </c>
      <c r="D13" s="6" t="n">
        <v>28343.52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11/03/2026</t>
        </is>
      </c>
      <c r="B14" s="5" t="inlineStr">
        <is>
          <t>Elizabeth - ACURA</t>
        </is>
      </c>
      <c r="C14" s="5" t="inlineStr">
        <is>
          <t>Saldo - Regulador - RM-042N-220 - 4 KVA - Bifásico + UPS - UPS-1000VA - 1000VA</t>
        </is>
      </c>
      <c r="D14" s="6" t="n">
        <v>28343.52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11/03/2026</t>
        </is>
      </c>
      <c r="B15" s="5" t="inlineStr">
        <is>
          <t>Emiliano Castro - ACME</t>
        </is>
      </c>
      <c r="C15" s="5" t="inlineStr">
        <is>
          <t>Regulador - RM-042N-220 - 4 KVA - Bifásico</t>
        </is>
      </c>
      <c r="D15" s="6" t="n">
        <v>47291.04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11/03/2026</t>
        </is>
      </c>
      <c r="B16" s="5" t="inlineStr">
        <is>
          <t>Elizabeth - ACURA</t>
        </is>
      </c>
      <c r="C16" s="5" t="inlineStr">
        <is>
          <t>Regulador - RM-042N-220 - 4 KVA - Bifásico + UPS - UPS-1000VA - 1000VA</t>
        </is>
      </c>
      <c r="D16" s="6" t="n">
        <v>56687.04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12/03/2026</t>
        </is>
      </c>
      <c r="B17" s="5" t="inlineStr">
        <is>
          <t>Elizabeth - ACURA</t>
        </is>
      </c>
      <c r="C17" s="5" t="inlineStr">
        <is>
          <t>Anticipo - Regulador - RM-042N-220 - 4 KVA - Bifásico</t>
        </is>
      </c>
      <c r="D17" s="6" t="n">
        <v>23645.52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12/03/2026</t>
        </is>
      </c>
      <c r="B18" s="5" t="inlineStr">
        <is>
          <t>Elizabeth - ACURA</t>
        </is>
      </c>
      <c r="C18" s="5" t="inlineStr">
        <is>
          <t>Saldo - Regulador - RM-042N-220 - 4 KVA - Bifásico</t>
        </is>
      </c>
      <c r="D18" s="6" t="n">
        <v>23645.52</v>
      </c>
      <c r="E18" s="6">
        <f>D18/1.16</f>
        <v/>
      </c>
      <c r="H18" t="inlineStr">
        <is>
          <t>Hugo</t>
        </is>
      </c>
    </row>
    <row r="19">
      <c r="A19" s="17" t="n"/>
      <c r="B19" s="17" t="n"/>
      <c r="C19" s="17" t="n"/>
      <c r="D19" s="18" t="inlineStr">
        <is>
          <t>TOTAL SIN IVA</t>
        </is>
      </c>
      <c r="E19" s="19">
        <f>SUM(E8:E18)</f>
        <v/>
      </c>
      <c r="F19" s="17" t="n"/>
      <c r="G19" s="17" t="n"/>
      <c r="H19" s="17" t="n"/>
    </row>
    <row r="20" ht="15" customHeight="1">
      <c r="A20" t="inlineStr">
        <is>
          <t>18/03/2026</t>
        </is>
      </c>
      <c r="B20" s="5" t="inlineStr">
        <is>
          <t>Emiliano Castro - ACME</t>
        </is>
      </c>
      <c r="C20" s="5" t="inlineStr">
        <is>
          <t>Regulador - RM-042N-220 - 4 KVA - Bifásico + UPS - UPS-1000VA - 1000VA</t>
        </is>
      </c>
      <c r="D20" s="6" t="n">
        <v>56687.04</v>
      </c>
      <c r="E20" s="6">
        <f>D20/1.16</f>
        <v/>
      </c>
      <c r="F20" s="7">
        <f>SUM(E20:E46)</f>
        <v/>
      </c>
      <c r="G20" s="8" t="inlineStr">
        <is>
          <t>Semana 3 (20-mar)</t>
        </is>
      </c>
      <c r="H20" t="inlineStr">
        <is>
          <t>Hugo</t>
        </is>
      </c>
    </row>
    <row r="21" ht="15" customHeight="1">
      <c r="A21" t="inlineStr">
        <is>
          <t>18/03/2026</t>
        </is>
      </c>
      <c r="B21" s="5" t="inlineStr">
        <is>
          <t>Elizabeth - ACURA</t>
        </is>
      </c>
      <c r="C21" s="5" t="inlineStr">
        <is>
          <t>Regulador - RM-042N-220 - 4 KVA - Bifásico</t>
        </is>
      </c>
      <c r="D21" s="6" t="n">
        <v>47291.04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18/03/2026</t>
        </is>
      </c>
      <c r="B22" s="5" t="inlineStr">
        <is>
          <t>Roman - OFFICE DEPOT</t>
        </is>
      </c>
      <c r="C22" s="5" t="inlineStr">
        <is>
          <t>Regulador - RM-042N-220 - 4 KVA - Bifásico</t>
        </is>
      </c>
      <c r="D22" s="6" t="n">
        <v>47291.04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18/03/2026</t>
        </is>
      </c>
      <c r="B23" s="5" t="inlineStr">
        <is>
          <t>Roman - OFFICE DEPOT</t>
        </is>
      </c>
      <c r="C23" s="5" t="inlineStr">
        <is>
          <t>Regulador - RM-042N-220 - 4 KVA - Bifásico</t>
        </is>
      </c>
      <c r="D23" s="6" t="n">
        <v>47291.04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18/03/2026</t>
        </is>
      </c>
      <c r="B24" s="5" t="inlineStr">
        <is>
          <t>Roman - OFFICE DEPOT</t>
        </is>
      </c>
      <c r="C24" s="5" t="inlineStr">
        <is>
          <t>Regulador - RM-042N-220 - 4 KVA - Bifásico</t>
        </is>
      </c>
      <c r="D24" s="6" t="n">
        <v>47291.04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18/03/2026</t>
        </is>
      </c>
      <c r="B25" s="5" t="inlineStr">
        <is>
          <t>Roman - OFFICE DEPOT</t>
        </is>
      </c>
      <c r="C25" s="5" t="inlineStr">
        <is>
          <t>Regulador - RM-042N-220 - 4 KVA - Bifásico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18/03/2026</t>
        </is>
      </c>
      <c r="B26" s="5" t="inlineStr">
        <is>
          <t>Elizabeth - ACURA</t>
        </is>
      </c>
      <c r="C26" s="5" t="inlineStr">
        <is>
          <t>Regulador - RM-042N-220 - 4 KVA - Bifásico</t>
        </is>
      </c>
      <c r="D26" s="6" t="n">
        <v>47291.04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18/03/2026</t>
        </is>
      </c>
      <c r="B27" s="5" t="inlineStr">
        <is>
          <t>Roman - OFFICE DEPOT</t>
        </is>
      </c>
      <c r="C27" s="5" t="inlineStr">
        <is>
          <t>Regulador - RM-042N-220 - 4 KVA - Bifásico</t>
        </is>
      </c>
      <c r="D27" s="6" t="n">
        <v>47291.04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18/03/2026</t>
        </is>
      </c>
      <c r="B28" s="5" t="inlineStr">
        <is>
          <t>Elizabeth - ACURA</t>
        </is>
      </c>
      <c r="C28" s="5" t="inlineStr">
        <is>
          <t>Regulador - RM-042N-220 - 4 KVA - Bifásico</t>
        </is>
      </c>
      <c r="D28" s="6" t="n">
        <v>47291.04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18/03/2026</t>
        </is>
      </c>
      <c r="B29" s="5" t="inlineStr">
        <is>
          <t>Elizabeth - ACURA</t>
        </is>
      </c>
      <c r="C29" s="5" t="inlineStr">
        <is>
          <t>Regulador - RM-042N-220 - 4 KVA - Bifásico</t>
        </is>
      </c>
      <c r="D29" s="6" t="n">
        <v>47291.04</v>
      </c>
      <c r="E29" s="6">
        <f>D29/1.16</f>
        <v/>
      </c>
      <c r="H29" t="inlineStr">
        <is>
          <t>Hugo</t>
        </is>
      </c>
    </row>
    <row r="30" ht="15" customHeight="1">
      <c r="A30" t="inlineStr">
        <is>
          <t>18/03/2026</t>
        </is>
      </c>
      <c r="B30" s="5" t="inlineStr">
        <is>
          <t>Roman - OFFICE DEPOT</t>
        </is>
      </c>
      <c r="C30" s="5" t="inlineStr">
        <is>
          <t>Regulador - RM-042N-220 - 4 KVA - Bifásico</t>
        </is>
      </c>
      <c r="D30" s="6" t="n">
        <v>47291.04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18/03/2026</t>
        </is>
      </c>
      <c r="B31" s="5" t="inlineStr">
        <is>
          <t>Emiliano Castro - ACME</t>
        </is>
      </c>
      <c r="C31" s="5" t="inlineStr">
        <is>
          <t>Regulador - RM-042N-220 - 4 KVA - Bifásico</t>
        </is>
      </c>
      <c r="D31" s="6" t="n">
        <v>47291.04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18/03/2026</t>
        </is>
      </c>
      <c r="B32" s="5" t="inlineStr">
        <is>
          <t>Emiliano Castro - ACME</t>
        </is>
      </c>
      <c r="C32" s="5" t="inlineStr">
        <is>
          <t>Regulador - RM-042N-220 - 4 KVA - Bifásico</t>
        </is>
      </c>
      <c r="D32" s="6" t="n">
        <v>47291.04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18/03/2026</t>
        </is>
      </c>
      <c r="B33" s="5" t="inlineStr">
        <is>
          <t>Emiliano Castro - ACME</t>
        </is>
      </c>
      <c r="C33" s="5" t="inlineStr">
        <is>
          <t>Regulador - RM-453-220 - 45 KVA - Trifásico</t>
        </is>
      </c>
      <c r="D33" s="6" t="n">
        <v>139583.34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18/03/2026</t>
        </is>
      </c>
      <c r="B34" s="5" t="inlineStr">
        <is>
          <t>Emiliano Castro - ACME</t>
        </is>
      </c>
      <c r="C34" s="5" t="inlineStr">
        <is>
          <t>Regulador - RM-453-220 - 45 KVA - Trifásico</t>
        </is>
      </c>
      <c r="D34" s="6" t="n">
        <v>139583.34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18/03/2026</t>
        </is>
      </c>
      <c r="B35" s="5" t="inlineStr">
        <is>
          <t>Roman - OFFICE DEPOT</t>
        </is>
      </c>
      <c r="C35" s="5" t="inlineStr">
        <is>
          <t>Regulador - RM-042N-220 - 4 KVA - Bifásico</t>
        </is>
      </c>
      <c r="D35" s="6" t="n">
        <v>47291.04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18/03/2026</t>
        </is>
      </c>
      <c r="B36" s="5" t="inlineStr">
        <is>
          <t>Emiliano Castro - ACME</t>
        </is>
      </c>
      <c r="C36" s="5" t="inlineStr">
        <is>
          <t>Regulador - RM-453-220 - 45 KVA - Trifásico</t>
        </is>
      </c>
      <c r="D36" s="6" t="n">
        <v>139583.34</v>
      </c>
      <c r="E36" s="6">
        <f>D36/1.16</f>
        <v/>
      </c>
      <c r="H36" t="inlineStr">
        <is>
          <t>Hugo</t>
        </is>
      </c>
    </row>
    <row r="37" ht="15" customHeight="1">
      <c r="A37" t="inlineStr">
        <is>
          <t>18/03/2026</t>
        </is>
      </c>
      <c r="B37" s="5" t="inlineStr">
        <is>
          <t>Emiliano Castro - ACME</t>
        </is>
      </c>
      <c r="C37" s="5" t="inlineStr">
        <is>
          <t>Regulador - RM-453-220 - 45 KVA - Trifásico</t>
        </is>
      </c>
      <c r="D37" s="6" t="n">
        <v>139583.34</v>
      </c>
      <c r="E37" s="6">
        <f>D37/1.16</f>
        <v/>
      </c>
      <c r="H37" t="inlineStr">
        <is>
          <t>Hugo</t>
        </is>
      </c>
    </row>
    <row r="38" ht="15" customHeight="1">
      <c r="A38" t="inlineStr">
        <is>
          <t>19/03/2026</t>
        </is>
      </c>
      <c r="B38" s="5" t="inlineStr">
        <is>
          <t>Emiliano Castro - ACME</t>
        </is>
      </c>
      <c r="C38" s="5" t="inlineStr">
        <is>
          <t>Regulador - RM-042N-220 - 4 KVA - Bifásico</t>
        </is>
      </c>
      <c r="D38" s="6" t="n">
        <v>47291.04</v>
      </c>
      <c r="E38" s="6">
        <f>D38/1.16</f>
        <v/>
      </c>
      <c r="H38" t="inlineStr">
        <is>
          <t>Hugo</t>
        </is>
      </c>
    </row>
    <row r="39" ht="15" customHeight="1">
      <c r="A39" t="inlineStr">
        <is>
          <t>19/03/2026</t>
        </is>
      </c>
      <c r="B39" s="5" t="inlineStr">
        <is>
          <t>Emiliano Castro - ACME</t>
        </is>
      </c>
      <c r="C39" s="5" t="inlineStr">
        <is>
          <t>Regulador - RM-042N-220 - 4 KVA - Bifásico</t>
        </is>
      </c>
      <c r="D39" s="6" t="n">
        <v>47291.04</v>
      </c>
      <c r="E39" s="6">
        <f>D39/1.16</f>
        <v/>
      </c>
      <c r="H39" t="inlineStr">
        <is>
          <t>Hugo</t>
        </is>
      </c>
    </row>
    <row r="40" ht="15" customHeight="1">
      <c r="A40" t="inlineStr">
        <is>
          <t>19/03/2026</t>
        </is>
      </c>
      <c r="B40" s="5" t="inlineStr">
        <is>
          <t>Roman - OFFICE DEPOT</t>
        </is>
      </c>
      <c r="C40" s="5" t="inlineStr">
        <is>
          <t>Regulador - RM-042N-220 - 4 KVA - Bifásico</t>
        </is>
      </c>
      <c r="D40" s="6" t="n">
        <v>47291.04</v>
      </c>
      <c r="E40" s="6">
        <f>D40/1.16</f>
        <v/>
      </c>
      <c r="H40" t="inlineStr">
        <is>
          <t>Hugo</t>
        </is>
      </c>
    </row>
    <row r="41" ht="15" customHeight="1">
      <c r="A41" t="inlineStr">
        <is>
          <t>20/03/2026</t>
        </is>
      </c>
      <c r="B41" s="5" t="inlineStr">
        <is>
          <t>Roman - OFFICE DEPOT</t>
        </is>
      </c>
      <c r="C41" s="5" t="inlineStr">
        <is>
          <t>Regulador - RM-453-220 - 45 KVA - Trifásico</t>
        </is>
      </c>
      <c r="D41" s="6" t="n">
        <v>139583.34</v>
      </c>
      <c r="E41" s="6">
        <f>D41/1.16</f>
        <v/>
      </c>
      <c r="H41" t="inlineStr">
        <is>
          <t>Hugo</t>
        </is>
      </c>
    </row>
    <row r="42" ht="15" customHeight="1">
      <c r="A42" t="inlineStr">
        <is>
          <t>20/03/2026</t>
        </is>
      </c>
      <c r="B42" s="5" t="inlineStr">
        <is>
          <t>Roman - OFFICE DEPOT</t>
        </is>
      </c>
      <c r="C42" s="5" t="inlineStr">
        <is>
          <t>Regulador - RM-453-220 - 45 KVA - Trifásico</t>
        </is>
      </c>
      <c r="D42" s="6" t="n">
        <v>139583.34</v>
      </c>
      <c r="E42" s="6">
        <f>D42/1.16</f>
        <v/>
      </c>
      <c r="H42" t="inlineStr">
        <is>
          <t>Hugo</t>
        </is>
      </c>
    </row>
    <row r="43" ht="15" customHeight="1">
      <c r="A43" t="inlineStr">
        <is>
          <t>20/03/2026</t>
        </is>
      </c>
      <c r="B43" s="5" t="inlineStr">
        <is>
          <t>Emiliano Castro - ACME</t>
        </is>
      </c>
      <c r="C43" s="5" t="inlineStr">
        <is>
          <t>Regulador - RM-041-127 - 4 KVA - Monofásico</t>
        </is>
      </c>
      <c r="D43" s="6" t="n">
        <v>19572.12</v>
      </c>
      <c r="E43" s="6">
        <f>D43/1.16</f>
        <v/>
      </c>
      <c r="H43" t="inlineStr">
        <is>
          <t>Hugo</t>
        </is>
      </c>
    </row>
    <row r="44" ht="15" customHeight="1">
      <c r="A44" t="inlineStr">
        <is>
          <t>20/03/2026</t>
        </is>
      </c>
      <c r="B44" s="5" t="inlineStr">
        <is>
          <t>Roman - OFFICE DEPOT</t>
        </is>
      </c>
      <c r="C44" s="5" t="inlineStr">
        <is>
          <t>Regulador - RM-042N-220 - 4 KVA - Bifásico + UPS - UPS-1000VA - 1000VA</t>
        </is>
      </c>
      <c r="D44" s="6" t="n">
        <v>56687.04</v>
      </c>
      <c r="E44" s="6">
        <f>D44/1.16</f>
        <v/>
      </c>
      <c r="H44" t="inlineStr">
        <is>
          <t>Hugo</t>
        </is>
      </c>
    </row>
    <row r="45" ht="15" customHeight="1">
      <c r="A45" t="inlineStr">
        <is>
          <t>20/03/2026</t>
        </is>
      </c>
      <c r="B45" s="5" t="inlineStr">
        <is>
          <t>Emiliano Castro - ACME</t>
        </is>
      </c>
      <c r="C45" s="5" t="inlineStr">
        <is>
          <t>Regulador - RM-042N-220 - 4 KVA - Bifásico + UPS - UPS-1000VA - 1000VA</t>
        </is>
      </c>
      <c r="D45" s="6" t="n">
        <v>56687.04</v>
      </c>
      <c r="E45" s="6">
        <f>D45/1.16</f>
        <v/>
      </c>
      <c r="H45" t="inlineStr">
        <is>
          <t>Hugo</t>
        </is>
      </c>
    </row>
    <row r="46" ht="15" customHeight="1">
      <c r="A46" t="inlineStr">
        <is>
          <t>20/03/2026</t>
        </is>
      </c>
      <c r="B46" s="5" t="inlineStr">
        <is>
          <t>Emiliano Castro - ACME</t>
        </is>
      </c>
      <c r="C46" s="5" t="inlineStr">
        <is>
          <t>Regulador - RM-042N-220 - 4 KVA - Bifásico + UPS - UPS-1000VA - 1000VA</t>
        </is>
      </c>
      <c r="D46" s="6" t="n">
        <v>56687.04</v>
      </c>
      <c r="E46" s="6">
        <f>D46/1.16</f>
        <v/>
      </c>
      <c r="H46" t="inlineStr">
        <is>
          <t>Hugo</t>
        </is>
      </c>
    </row>
    <row r="47">
      <c r="A47" s="17" t="n"/>
      <c r="B47" s="17" t="n"/>
      <c r="C47" s="17" t="n"/>
      <c r="D47" s="18" t="inlineStr">
        <is>
          <t>TOTAL SIN IVA</t>
        </is>
      </c>
      <c r="E47" s="19">
        <f>SUM(E20:E46)</f>
        <v/>
      </c>
      <c r="F47" s="17" t="n"/>
      <c r="G47" s="17" t="n"/>
      <c r="H47" s="17" t="n"/>
    </row>
    <row r="48" ht="15" customHeight="1">
      <c r="A48" t="inlineStr">
        <is>
          <t>21/03/2026</t>
        </is>
      </c>
      <c r="B48" s="5" t="inlineStr">
        <is>
          <t>Emiliano Castro - ACME</t>
        </is>
      </c>
      <c r="C48" s="5" t="inlineStr">
        <is>
          <t>Transformador - RMT-1.51-24 - 1.5 KVA - Monofásico</t>
        </is>
      </c>
      <c r="D48" s="6" t="n">
        <v>19000.8</v>
      </c>
      <c r="E48" s="6">
        <f>D48/1.16</f>
        <v/>
      </c>
      <c r="F48" s="7">
        <f>SUM(E48:E71)</f>
        <v/>
      </c>
      <c r="G48" s="8" t="inlineStr">
        <is>
          <t>Semana 4 (27-mar)</t>
        </is>
      </c>
      <c r="H48" t="inlineStr">
        <is>
          <t>Hugo</t>
        </is>
      </c>
    </row>
    <row r="49" ht="15" customHeight="1">
      <c r="A49" t="inlineStr">
        <is>
          <t>21/03/2026</t>
        </is>
      </c>
      <c r="B49" s="5" t="inlineStr">
        <is>
          <t>Emiliano Castro - ACME</t>
        </is>
      </c>
      <c r="C49" s="5" t="inlineStr">
        <is>
          <t>Regulador - RM-042N-220 - 4 KVA - Bifásico</t>
        </is>
      </c>
      <c r="D49" s="6" t="n">
        <v>47291.04</v>
      </c>
      <c r="E49" s="6">
        <f>D49/1.16</f>
        <v/>
      </c>
      <c r="H49" t="inlineStr">
        <is>
          <t>Hugo</t>
        </is>
      </c>
    </row>
    <row r="50" ht="15" customHeight="1">
      <c r="A50" t="inlineStr">
        <is>
          <t>21/03/2026</t>
        </is>
      </c>
      <c r="B50" s="5" t="inlineStr">
        <is>
          <t>Emiliano Castro - ACME</t>
        </is>
      </c>
      <c r="C50" s="5" t="inlineStr">
        <is>
          <t>Transformador - RMT-1.51-24 - 1.5 KVA - Monofásico</t>
        </is>
      </c>
      <c r="D50" s="6" t="n">
        <v>18792</v>
      </c>
      <c r="E50" s="6">
        <f>D50/1.16</f>
        <v/>
      </c>
      <c r="H50" t="inlineStr">
        <is>
          <t>Hugo</t>
        </is>
      </c>
    </row>
    <row r="51" ht="15" customHeight="1">
      <c r="A51" t="inlineStr">
        <is>
          <t>21/03/2026</t>
        </is>
      </c>
      <c r="B51" s="5" t="inlineStr">
        <is>
          <t>Emiliano Castro - ACME</t>
        </is>
      </c>
      <c r="C51" s="5" t="inlineStr">
        <is>
          <t>Transformador - RMT-1.51-24 - 1.5 KVA - Monofásico</t>
        </is>
      </c>
      <c r="D51" s="6" t="n">
        <v>18792</v>
      </c>
      <c r="E51" s="6">
        <f>D51/1.16</f>
        <v/>
      </c>
      <c r="H51" t="inlineStr">
        <is>
          <t>Hugo</t>
        </is>
      </c>
    </row>
    <row r="52" ht="15" customHeight="1">
      <c r="A52" t="inlineStr">
        <is>
          <t>21/03/2026</t>
        </is>
      </c>
      <c r="B52" s="5" t="inlineStr">
        <is>
          <t>Emiliano Castro - ACME</t>
        </is>
      </c>
      <c r="C52" s="5" t="inlineStr">
        <is>
          <t>Transformador - RMT-1.51-24 - 1.5 KVA - Monofásico</t>
        </is>
      </c>
      <c r="D52" s="6" t="n">
        <v>18792</v>
      </c>
      <c r="E52" s="6">
        <f>D52/1.16</f>
        <v/>
      </c>
      <c r="H52" t="inlineStr">
        <is>
          <t>Hugo</t>
        </is>
      </c>
    </row>
    <row r="53" ht="15" customHeight="1">
      <c r="A53" t="inlineStr">
        <is>
          <t>21/03/2026</t>
        </is>
      </c>
      <c r="B53" s="5" t="inlineStr">
        <is>
          <t>Emiliano Castro - ACME</t>
        </is>
      </c>
      <c r="C53" s="5" t="inlineStr">
        <is>
          <t>Transformador - RMT-1.51-24 - 1.5 KVA - Monofásico</t>
        </is>
      </c>
      <c r="D53" s="6" t="n">
        <v>18792</v>
      </c>
      <c r="E53" s="6">
        <f>D53/1.16</f>
        <v/>
      </c>
      <c r="H53" t="inlineStr">
        <is>
          <t>Hugo</t>
        </is>
      </c>
    </row>
    <row r="54" ht="15" customHeight="1">
      <c r="A54" t="inlineStr">
        <is>
          <t>21/03/2026</t>
        </is>
      </c>
      <c r="B54" s="5" t="inlineStr">
        <is>
          <t>Emiliano Castro - ACME</t>
        </is>
      </c>
      <c r="C54" s="5" t="inlineStr">
        <is>
          <t>Transformador - RMT-1.51-24 - 1.5 KVA - Monofásico</t>
        </is>
      </c>
      <c r="D54" s="6" t="n">
        <v>18792</v>
      </c>
      <c r="E54" s="6">
        <f>D54/1.16</f>
        <v/>
      </c>
      <c r="H54" t="inlineStr">
        <is>
          <t>Hugo</t>
        </is>
      </c>
    </row>
    <row r="55" ht="15" customHeight="1">
      <c r="A55" t="inlineStr">
        <is>
          <t>23/03/2026</t>
        </is>
      </c>
      <c r="B55" s="5" t="inlineStr">
        <is>
          <t>Roman - OFFICE DEPOT</t>
        </is>
      </c>
      <c r="C55" s="5" t="inlineStr">
        <is>
          <t>Regulador - RM-042N-220 - 4 KVA - Bifásico</t>
        </is>
      </c>
      <c r="D55" s="6" t="n">
        <v>47291.04</v>
      </c>
      <c r="E55" s="6">
        <f>D55/1.16</f>
        <v/>
      </c>
      <c r="H55" t="inlineStr">
        <is>
          <t>Hugo</t>
        </is>
      </c>
    </row>
    <row r="56" ht="15" customHeight="1">
      <c r="A56" t="inlineStr">
        <is>
          <t>23/03/2026</t>
        </is>
      </c>
      <c r="B56" s="5" t="inlineStr">
        <is>
          <t>Elizabeth - ACURA</t>
        </is>
      </c>
      <c r="C56" s="5" t="inlineStr">
        <is>
          <t>Transformador - RMT-1.51-24 - 1.5 KVA - Monofásico</t>
        </is>
      </c>
      <c r="D56" s="6" t="n">
        <v>18792</v>
      </c>
      <c r="E56" s="6">
        <f>D56/1.16</f>
        <v/>
      </c>
      <c r="H56" t="inlineStr">
        <is>
          <t>Hugo</t>
        </is>
      </c>
    </row>
    <row r="57" ht="15" customHeight="1">
      <c r="A57" t="inlineStr">
        <is>
          <t>23/03/2026</t>
        </is>
      </c>
      <c r="B57" s="5" t="inlineStr">
        <is>
          <t>Emiliano Castro - ACME</t>
        </is>
      </c>
      <c r="C57" s="5" t="inlineStr">
        <is>
          <t>Transformador - RMT-1.51-24 - 1.5 KVA - Monofásico</t>
        </is>
      </c>
      <c r="D57" s="6" t="n">
        <v>18792</v>
      </c>
      <c r="E57" s="6">
        <f>D57/1.16</f>
        <v/>
      </c>
      <c r="H57" t="inlineStr">
        <is>
          <t>Hugo</t>
        </is>
      </c>
    </row>
    <row r="58" ht="15" customHeight="1">
      <c r="A58" t="inlineStr">
        <is>
          <t>23/03/2026</t>
        </is>
      </c>
      <c r="B58" s="5" t="inlineStr">
        <is>
          <t>Emiliano Castro - ACME</t>
        </is>
      </c>
      <c r="C58" s="5" t="inlineStr">
        <is>
          <t>Regulador - RM-042N-220 - 4 KVA - Bifásico</t>
        </is>
      </c>
      <c r="D58" s="6" t="n">
        <v>47291.04</v>
      </c>
      <c r="E58" s="6">
        <f>D58/1.16</f>
        <v/>
      </c>
      <c r="H58" t="inlineStr">
        <is>
          <t>Hugo</t>
        </is>
      </c>
    </row>
    <row r="59" ht="15" customHeight="1">
      <c r="A59" t="inlineStr">
        <is>
          <t>23/03/2026</t>
        </is>
      </c>
      <c r="B59" s="5" t="inlineStr">
        <is>
          <t>Emiliano Castro - ACME</t>
        </is>
      </c>
      <c r="C59" s="5" t="inlineStr">
        <is>
          <t>Regulador - RM-042N-220 - 4 KVA - Bifásico</t>
        </is>
      </c>
      <c r="D59" s="6" t="n">
        <v>47291.04</v>
      </c>
      <c r="E59" s="6">
        <f>D59/1.16</f>
        <v/>
      </c>
      <c r="H59" t="inlineStr">
        <is>
          <t>Hugo</t>
        </is>
      </c>
    </row>
    <row r="60" ht="15" customHeight="1">
      <c r="A60" t="inlineStr">
        <is>
          <t>23/03/2026</t>
        </is>
      </c>
      <c r="B60" s="5" t="inlineStr">
        <is>
          <t>Emiliano Castro - ACME</t>
        </is>
      </c>
      <c r="C60" s="5" t="inlineStr">
        <is>
          <t>Regulador - RM-042N-220 - 4 KVA - Bifásico</t>
        </is>
      </c>
      <c r="D60" s="6" t="n">
        <v>47291.04</v>
      </c>
      <c r="E60" s="6">
        <f>D60/1.16</f>
        <v/>
      </c>
      <c r="H60" t="inlineStr">
        <is>
          <t>Hugo</t>
        </is>
      </c>
    </row>
    <row r="61" ht="15" customHeight="1">
      <c r="A61" t="inlineStr">
        <is>
          <t>24/03/2026</t>
        </is>
      </c>
      <c r="B61" s="5" t="inlineStr">
        <is>
          <t>Roman - OFFICE DEPOT</t>
        </is>
      </c>
      <c r="C61" s="5" t="inlineStr">
        <is>
          <t>Regulador - RM-051-120 - 5 KVA - Monofásico</t>
        </is>
      </c>
      <c r="D61" s="6" t="n">
        <v>19572.12</v>
      </c>
      <c r="E61" s="6">
        <f>D61/1.16</f>
        <v/>
      </c>
      <c r="H61" t="inlineStr">
        <is>
          <t>Hugo</t>
        </is>
      </c>
    </row>
    <row r="62" ht="15" customHeight="1">
      <c r="A62" t="inlineStr">
        <is>
          <t>24/03/2026</t>
        </is>
      </c>
      <c r="B62" s="5" t="inlineStr">
        <is>
          <t>Emiliano Castro - ACME</t>
        </is>
      </c>
      <c r="C62" s="5" t="inlineStr">
        <is>
          <t>Regulador - RM-051-120 - 5 KVA - Monofásico</t>
        </is>
      </c>
      <c r="D62" s="6" t="n">
        <v>19572.12</v>
      </c>
      <c r="E62" s="6">
        <f>D62/1.16</f>
        <v/>
      </c>
      <c r="H62" t="inlineStr">
        <is>
          <t>Hugo</t>
        </is>
      </c>
    </row>
    <row r="63" ht="15" customHeight="1">
      <c r="A63" t="inlineStr">
        <is>
          <t>24/03/2026</t>
        </is>
      </c>
      <c r="B63" s="5" t="inlineStr">
        <is>
          <t>Emiliano Castro - ACME</t>
        </is>
      </c>
      <c r="C63" s="5" t="inlineStr">
        <is>
          <t>Regulador - RM-051-120 - 5 KVA - Monofásico</t>
        </is>
      </c>
      <c r="D63" s="6" t="n">
        <v>19572.12</v>
      </c>
      <c r="E63" s="6">
        <f>D63/1.16</f>
        <v/>
      </c>
      <c r="H63" t="inlineStr">
        <is>
          <t>Hugo</t>
        </is>
      </c>
    </row>
    <row r="64" ht="15" customHeight="1">
      <c r="A64" t="inlineStr">
        <is>
          <t>24/03/2026</t>
        </is>
      </c>
      <c r="B64" s="5" t="inlineStr">
        <is>
          <t>Emiliano Castro - ACME</t>
        </is>
      </c>
      <c r="C64" s="5" t="inlineStr">
        <is>
          <t>Regulador - RM-051-127 - 5 KVA - Monofásico</t>
        </is>
      </c>
      <c r="D64" s="6" t="n">
        <v>19572.12</v>
      </c>
      <c r="E64" s="6">
        <f>D64/1.16</f>
        <v/>
      </c>
      <c r="H64" t="inlineStr">
        <is>
          <t>Hugo</t>
        </is>
      </c>
    </row>
    <row r="65" ht="15" customHeight="1">
      <c r="A65" t="inlineStr">
        <is>
          <t>24/03/2026</t>
        </is>
      </c>
      <c r="B65" s="5" t="inlineStr">
        <is>
          <t>Emiliano Castro - ACME</t>
        </is>
      </c>
      <c r="C65" s="5" t="inlineStr">
        <is>
          <t>Regulador - RM-051-127 - 5 KVA - Monofásico</t>
        </is>
      </c>
      <c r="D65" s="6" t="n">
        <v>19572.12</v>
      </c>
      <c r="E65" s="6">
        <f>D65/1.16</f>
        <v/>
      </c>
      <c r="H65" t="inlineStr">
        <is>
          <t>Hugo</t>
        </is>
      </c>
    </row>
    <row r="66" ht="15" customHeight="1">
      <c r="A66" t="inlineStr">
        <is>
          <t>24/03/2026</t>
        </is>
      </c>
      <c r="B66" s="5" t="inlineStr">
        <is>
          <t>Emiliano Castro - ACME</t>
        </is>
      </c>
      <c r="C66" s="5" t="inlineStr">
        <is>
          <t>Regulador - RM-051-127 - 5 KVA - Monofásico</t>
        </is>
      </c>
      <c r="D66" s="6" t="n">
        <v>19572.12</v>
      </c>
      <c r="E66" s="6">
        <f>D66/1.16</f>
        <v/>
      </c>
      <c r="H66" t="inlineStr">
        <is>
          <t>Hugo</t>
        </is>
      </c>
    </row>
    <row r="67" ht="15" customHeight="1">
      <c r="A67" t="inlineStr">
        <is>
          <t>24/03/2026</t>
        </is>
      </c>
      <c r="B67" s="5" t="inlineStr">
        <is>
          <t>Emiliano Castro - ACME</t>
        </is>
      </c>
      <c r="C67" s="5" t="inlineStr">
        <is>
          <t>Regulador - RM-051-127 - 5 KVA - Monofásico</t>
        </is>
      </c>
      <c r="D67" s="6" t="n">
        <v>19572.12</v>
      </c>
      <c r="E67" s="6">
        <f>D67/1.16</f>
        <v/>
      </c>
      <c r="H67" t="inlineStr">
        <is>
          <t>Hugo</t>
        </is>
      </c>
    </row>
    <row r="68" ht="15" customHeight="1">
      <c r="A68" t="inlineStr">
        <is>
          <t>24/03/2026</t>
        </is>
      </c>
      <c r="B68" s="5" t="inlineStr">
        <is>
          <t>Roman - OFFICE DEPOT</t>
        </is>
      </c>
      <c r="C68" s="5" t="inlineStr">
        <is>
          <t>Regulador - RM-051-127 - 5 KVA - Monofásico</t>
        </is>
      </c>
      <c r="D68" s="6" t="n">
        <v>19572.12</v>
      </c>
      <c r="E68" s="6">
        <f>D68/1.16</f>
        <v/>
      </c>
      <c r="H68" t="inlineStr">
        <is>
          <t>Hugo</t>
        </is>
      </c>
    </row>
    <row r="69" ht="15" customHeight="1">
      <c r="A69" t="inlineStr">
        <is>
          <t>24/03/2026</t>
        </is>
      </c>
      <c r="B69" s="5" t="inlineStr">
        <is>
          <t>Emiliano Castro - ACME</t>
        </is>
      </c>
      <c r="C69" s="5" t="inlineStr">
        <is>
          <t>Regulador - RM-051-127 - 5 KVA - Monofásico</t>
        </is>
      </c>
      <c r="D69" s="6" t="n">
        <v>19572.12</v>
      </c>
      <c r="E69" s="6">
        <f>D69/1.16</f>
        <v/>
      </c>
      <c r="H69" t="inlineStr">
        <is>
          <t>Hugo</t>
        </is>
      </c>
    </row>
    <row r="70" ht="15" customHeight="1">
      <c r="A70" t="inlineStr">
        <is>
          <t>24/03/2026</t>
        </is>
      </c>
      <c r="B70" s="5" t="inlineStr">
        <is>
          <t>Emiliano Castro - ACME</t>
        </is>
      </c>
      <c r="C70" s="5" t="inlineStr">
        <is>
          <t>Regulador - RM-042N-220 - 4 KVA - Bifásico</t>
        </is>
      </c>
      <c r="D70" s="6" t="n">
        <v>47291.04</v>
      </c>
      <c r="E70" s="6">
        <f>D70/1.16</f>
        <v/>
      </c>
      <c r="H70" t="inlineStr">
        <is>
          <t>Hugo</t>
        </is>
      </c>
    </row>
    <row r="71" ht="15" customHeight="1">
      <c r="A71" t="inlineStr">
        <is>
          <t>24/03/2026</t>
        </is>
      </c>
      <c r="B71" s="5" t="inlineStr">
        <is>
          <t>Emiliano Castro - ACME</t>
        </is>
      </c>
      <c r="C71" s="5" t="inlineStr">
        <is>
          <t>Regulador - RM-051-127 - 5 KVA - Monofásico</t>
        </is>
      </c>
      <c r="D71" s="6" t="n">
        <v>19572.12</v>
      </c>
      <c r="E71" s="6">
        <f>D71/1.16</f>
        <v/>
      </c>
      <c r="H71" t="inlineStr">
        <is>
          <t>Hugo</t>
        </is>
      </c>
    </row>
    <row r="72">
      <c r="A72" s="17" t="n"/>
      <c r="B72" s="17" t="n"/>
      <c r="C72" s="17" t="n"/>
      <c r="D72" s="18" t="inlineStr">
        <is>
          <t>TOTAL SIN IVA</t>
        </is>
      </c>
      <c r="E72" s="19">
        <f>SUM(E48:E71)</f>
        <v/>
      </c>
      <c r="F72" s="17" t="n"/>
      <c r="G72" s="17" t="n"/>
      <c r="H72" s="17" t="n"/>
    </row>
    <row r="73">
      <c r="D73" s="20" t="inlineStr">
        <is>
          <t>VENTAS MARZO</t>
        </is>
      </c>
      <c r="E73" s="21">
        <f>E19+E47+E72</f>
        <v/>
      </c>
    </row>
  </sheetData>
  <mergeCells count="16">
    <mergeCell ref="A5:A6"/>
    <mergeCell ref="G5:G6"/>
    <mergeCell ref="F48:F71"/>
    <mergeCell ref="H5:H6"/>
    <mergeCell ref="G8:G18"/>
    <mergeCell ref="F8:F18"/>
    <mergeCell ref="G48:G71"/>
    <mergeCell ref="A7:H7"/>
    <mergeCell ref="A2:H2"/>
    <mergeCell ref="D5:E5"/>
    <mergeCell ref="F20:F46"/>
    <mergeCell ref="J8:L8"/>
    <mergeCell ref="G20:G46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4" customWidth="1" min="2" max="2"/>
    <col width="55" customWidth="1" min="3" max="3"/>
    <col width="20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2" t="inlineStr">
        <is>
          <t>Comisiones Anual 2026</t>
        </is>
      </c>
    </row>
    <row r="3">
      <c r="A3" s="23" t="inlineStr">
        <is>
          <t>Reguladores Electromecánicos, Reparaciones y Mantenimientos</t>
        </is>
      </c>
    </row>
    <row r="4"/>
    <row r="5">
      <c r="A5" s="24" t="inlineStr">
        <is>
          <t>Fecha</t>
        </is>
      </c>
      <c r="B5" s="24" t="inlineStr">
        <is>
          <t>Cliente</t>
        </is>
      </c>
      <c r="C5" s="24" t="inlineStr">
        <is>
          <t>Concepto</t>
        </is>
      </c>
      <c r="D5" s="24" t="inlineStr">
        <is>
          <t>DEPÓSITO</t>
        </is>
      </c>
      <c r="E5" s="3" t="n"/>
      <c r="F5" s="24" t="inlineStr">
        <is>
          <t>Total</t>
        </is>
      </c>
      <c r="G5" s="24" t="inlineStr">
        <is>
          <t>Semana</t>
        </is>
      </c>
      <c r="H5" s="24" t="inlineStr">
        <is>
          <t>Vendedor</t>
        </is>
      </c>
    </row>
    <row r="6">
      <c r="A6" s="3" t="n"/>
      <c r="B6" s="3" t="n"/>
      <c r="C6" s="3" t="n"/>
      <c r="D6" s="24" t="inlineStr">
        <is>
          <t>Con IVA</t>
        </is>
      </c>
      <c r="E6" s="24" t="inlineStr">
        <is>
          <t>Sin IVA</t>
        </is>
      </c>
      <c r="F6" s="3" t="n"/>
      <c r="G6" s="3" t="n"/>
      <c r="H6" s="3" t="n"/>
    </row>
    <row r="7"/>
    <row r="8" ht="30" customHeight="1">
      <c r="A8" s="25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11/03/2026</t>
        </is>
      </c>
      <c r="B9" s="5" t="inlineStr">
        <is>
          <t>Emiliano Castro - ACME</t>
        </is>
      </c>
      <c r="C9" s="5" t="inlineStr">
        <is>
          <t>Saldo - Regulador - RM-042N-220 - 4 KVA - Bifásico</t>
        </is>
      </c>
      <c r="D9" s="6" t="n">
        <v>23730.48372382365</v>
      </c>
      <c r="E9" s="6">
        <f>D9/1.16</f>
        <v/>
      </c>
      <c r="F9" s="26">
        <f>SUM(E9:E19)</f>
        <v/>
      </c>
      <c r="G9" s="8" t="inlineStr">
        <is>
          <t>Semana 2 (13-mar)</t>
        </is>
      </c>
      <c r="H9" t="inlineStr">
        <is>
          <t>Hugo</t>
        </is>
      </c>
      <c r="J9" s="27" t="inlineStr">
        <is>
          <t>VENTAS MARZO</t>
        </is>
      </c>
      <c r="K9" s="3" t="n"/>
    </row>
    <row r="10" ht="15" customHeight="1">
      <c r="A10" t="inlineStr">
        <is>
          <t>11/03/2026</t>
        </is>
      </c>
      <c r="B10" s="5" t="inlineStr">
        <is>
          <t>Emiliano Castro - ACME</t>
        </is>
      </c>
      <c r="C10" s="5" t="inlineStr">
        <is>
          <t>Anticipo - Regulador - RM-042N-220 - 4 KVA - Bifásico</t>
        </is>
      </c>
      <c r="D10" s="6" t="n">
        <v>23730.48372382365</v>
      </c>
      <c r="E10" s="6">
        <f>D10/1.16</f>
        <v/>
      </c>
      <c r="H10" t="inlineStr">
        <is>
          <t>Hugo</t>
        </is>
      </c>
      <c r="J10" s="28">
        <f>E66</f>
        <v/>
      </c>
      <c r="K10" s="3" t="n"/>
    </row>
    <row r="11" ht="15" customHeight="1">
      <c r="A11" t="inlineStr">
        <is>
          <t>11/03/2026</t>
        </is>
      </c>
      <c r="B11" s="5" t="inlineStr">
        <is>
          <t>Emiliano Castro - ACME</t>
        </is>
      </c>
      <c r="C11" s="5" t="inlineStr">
        <is>
          <t>Saldo - Regulador - RM-042N-220 - 4 KVA - Bifásico</t>
        </is>
      </c>
      <c r="D11" s="6" t="n">
        <v>23730.48372382365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11/03/2026</t>
        </is>
      </c>
      <c r="B12" s="5" t="inlineStr">
        <is>
          <t>Elizabeth - ACURA</t>
        </is>
      </c>
      <c r="C12" s="5" t="inlineStr">
        <is>
          <t>Anticipo - Regulador - RM-042N-220 - 4 KVA - Bifásico</t>
        </is>
      </c>
      <c r="D12" s="6" t="n">
        <v>23730.48372382365</v>
      </c>
      <c r="E12" s="6">
        <f>D12/1.16</f>
        <v/>
      </c>
      <c r="H12" t="inlineStr">
        <is>
          <t>Hugo</t>
        </is>
      </c>
      <c r="J12" s="29" t="inlineStr">
        <is>
          <t>Vendedor</t>
        </is>
      </c>
      <c r="K12" s="29" t="inlineStr">
        <is>
          <t>Comisiones</t>
        </is>
      </c>
    </row>
    <row r="13" ht="15" customHeight="1">
      <c r="A13" t="inlineStr">
        <is>
          <t>11/03/2026</t>
        </is>
      </c>
      <c r="B13" s="5" t="inlineStr">
        <is>
          <t>Elizabeth - ACURA</t>
        </is>
      </c>
      <c r="C13" s="5" t="inlineStr">
        <is>
          <t>Saldo - Regulador - RM-042N-220 - 4 KVA - Bifásico</t>
        </is>
      </c>
      <c r="D13" s="6" t="n">
        <v>23730.48372382365</v>
      </c>
      <c r="E13" s="6">
        <f>D13/1.16</f>
        <v/>
      </c>
      <c r="H13" t="inlineStr">
        <is>
          <t>Hugo</t>
        </is>
      </c>
      <c r="J13" s="30" t="inlineStr">
        <is>
          <t>Hugo</t>
        </is>
      </c>
      <c r="K13" s="31">
        <f>IF(J10&lt;=690000,0,IF(J10&lt;=890000,J10*0.01,IF(J10&lt;=1090000,J10*0.015,IF(J10&lt;=1290000,J10*0.021,J10*0.0222))))</f>
        <v/>
      </c>
    </row>
    <row r="14" ht="15" customHeight="1">
      <c r="A14" t="inlineStr">
        <is>
          <t>11/03/2026</t>
        </is>
      </c>
      <c r="B14" s="5" t="inlineStr">
        <is>
          <t>Elizabeth - ACURA</t>
        </is>
      </c>
      <c r="C14" s="5" t="inlineStr">
        <is>
          <t>Anticipo - Regulador - RM-042N-220 - 4 KVA - Bifásico</t>
        </is>
      </c>
      <c r="D14" s="6" t="n">
        <v>23730.48372382365</v>
      </c>
      <c r="E14" s="6">
        <f>D14/1.16</f>
        <v/>
      </c>
      <c r="H14" t="inlineStr">
        <is>
          <t>Hugo</t>
        </is>
      </c>
      <c r="J14" s="30" t="inlineStr">
        <is>
          <t>Marlen</t>
        </is>
      </c>
      <c r="K14" s="31">
        <f>IF(J10&lt;=690000,0,IF(J10&lt;=890000,J10*0.005,IF(J10&lt;=1090000,J10*0.01,IF(J10&lt;=1290000,J10*0.014,J10*0.0148))))</f>
        <v/>
      </c>
    </row>
    <row r="15" ht="15" customHeight="1">
      <c r="A15" t="inlineStr">
        <is>
          <t>11/03/2026</t>
        </is>
      </c>
      <c r="B15" s="5" t="inlineStr">
        <is>
          <t>Elizabeth - ACURA</t>
        </is>
      </c>
      <c r="C15" s="5" t="inlineStr">
        <is>
          <t>Saldo - Regulador - RM-042N-220 - 4 KVA - Bifásico</t>
        </is>
      </c>
      <c r="D15" s="6" t="n">
        <v>23730.48372382365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11/03/2026</t>
        </is>
      </c>
      <c r="B16" s="5" t="inlineStr">
        <is>
          <t>Emiliano Castro - ACME</t>
        </is>
      </c>
      <c r="C16" s="5" t="inlineStr">
        <is>
          <t>Regulador - RM-042N-220 - 4 KVA - Bifásico</t>
        </is>
      </c>
      <c r="D16" s="6" t="n">
        <v>47291.04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11/03/2026</t>
        </is>
      </c>
      <c r="B17" s="5" t="inlineStr">
        <is>
          <t>Elizabeth - ACURA</t>
        </is>
      </c>
      <c r="C17" s="5" t="inlineStr">
        <is>
          <t>Regulador - RM-042N-220 - 4 KVA - Bifásico</t>
        </is>
      </c>
      <c r="D17" s="6" t="n">
        <v>47460.96744764729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12/03/2026</t>
        </is>
      </c>
      <c r="B18" s="5" t="inlineStr">
        <is>
          <t>Elizabeth - ACURA</t>
        </is>
      </c>
      <c r="C18" s="5" t="inlineStr">
        <is>
          <t>Anticipo - Regulador - RM-042N-220 - 4 KVA - Bifásico</t>
        </is>
      </c>
      <c r="D18" s="6" t="n">
        <v>23645.52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12/03/2026</t>
        </is>
      </c>
      <c r="B19" s="5" t="inlineStr">
        <is>
          <t>Elizabeth - ACURA</t>
        </is>
      </c>
      <c r="C19" s="5" t="inlineStr">
        <is>
          <t>Saldo - Regulador - RM-042N-220 - 4 KVA - Bifásico</t>
        </is>
      </c>
      <c r="D19" s="6" t="n">
        <v>23645.52</v>
      </c>
      <c r="E19" s="6">
        <f>D19/1.16</f>
        <v/>
      </c>
      <c r="H19" t="inlineStr">
        <is>
          <t>Hugo</t>
        </is>
      </c>
    </row>
    <row r="20">
      <c r="A20" s="32" t="n"/>
      <c r="B20" s="32" t="n"/>
      <c r="C20" s="32" t="n"/>
      <c r="D20" s="33" t="inlineStr">
        <is>
          <t>TOTAL SIN IVA</t>
        </is>
      </c>
      <c r="E20" s="34">
        <f>SUM(E9:E19)</f>
        <v/>
      </c>
      <c r="F20" s="32" t="n"/>
      <c r="G20" s="32" t="n"/>
      <c r="H20" s="32" t="n"/>
    </row>
    <row r="21" ht="15" customHeight="1">
      <c r="A21" t="inlineStr">
        <is>
          <t>18/03/2026</t>
        </is>
      </c>
      <c r="B21" s="5" t="inlineStr">
        <is>
          <t>Emiliano Castro - ACME</t>
        </is>
      </c>
      <c r="C21" s="5" t="inlineStr">
        <is>
          <t>Regulador - RM-042N-220 - 4 KVA - Bifásico</t>
        </is>
      </c>
      <c r="D21" s="6" t="n">
        <v>47460.96744764729</v>
      </c>
      <c r="E21" s="6">
        <f>D21/1.16</f>
        <v/>
      </c>
      <c r="F21" s="26">
        <f>SUM(E21:E47)</f>
        <v/>
      </c>
      <c r="G21" s="8" t="inlineStr">
        <is>
          <t>Semana 3 (20-mar)</t>
        </is>
      </c>
      <c r="H21" t="inlineStr">
        <is>
          <t>Hugo</t>
        </is>
      </c>
    </row>
    <row r="22" ht="15" customHeight="1">
      <c r="A22" t="inlineStr">
        <is>
          <t>18/03/2026</t>
        </is>
      </c>
      <c r="B22" s="5" t="inlineStr">
        <is>
          <t>Elizabeth - ACURA</t>
        </is>
      </c>
      <c r="C22" s="5" t="inlineStr">
        <is>
          <t>Regulador - RM-042N-220 - 4 KVA - Bifásico</t>
        </is>
      </c>
      <c r="D22" s="6" t="n">
        <v>47291.04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18/03/2026</t>
        </is>
      </c>
      <c r="B23" s="5" t="inlineStr">
        <is>
          <t>Roman - OFFICE DEPOT</t>
        </is>
      </c>
      <c r="C23" s="5" t="inlineStr">
        <is>
          <t>Regulador - RM-042N-220 - 4 KVA - Bifásico</t>
        </is>
      </c>
      <c r="D23" s="6" t="n">
        <v>47291.04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18/03/2026</t>
        </is>
      </c>
      <c r="B24" s="5" t="inlineStr">
        <is>
          <t>Roman - OFFICE DEPOT</t>
        </is>
      </c>
      <c r="C24" s="5" t="inlineStr">
        <is>
          <t>Regulador - RM-042N-220 - 4 KVA - Bifásico</t>
        </is>
      </c>
      <c r="D24" s="6" t="n">
        <v>47291.04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18/03/2026</t>
        </is>
      </c>
      <c r="B25" s="5" t="inlineStr">
        <is>
          <t>Roman - OFFICE DEPOT</t>
        </is>
      </c>
      <c r="C25" s="5" t="inlineStr">
        <is>
          <t>Regulador - RM-042N-220 - 4 KVA - Bifásico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18/03/2026</t>
        </is>
      </c>
      <c r="B26" s="5" t="inlineStr">
        <is>
          <t>Roman - OFFICE DEPOT</t>
        </is>
      </c>
      <c r="C26" s="5" t="inlineStr">
        <is>
          <t>Regulador - RM-042N-220 - 4 KVA - Bifásico</t>
        </is>
      </c>
      <c r="D26" s="6" t="n">
        <v>47291.04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18/03/2026</t>
        </is>
      </c>
      <c r="B27" s="5" t="inlineStr">
        <is>
          <t>Elizabeth - ACURA</t>
        </is>
      </c>
      <c r="C27" s="5" t="inlineStr">
        <is>
          <t>Regulador - RM-042N-220 - 4 KVA - Bifásico</t>
        </is>
      </c>
      <c r="D27" s="6" t="n">
        <v>47291.04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18/03/2026</t>
        </is>
      </c>
      <c r="B28" s="5" t="inlineStr">
        <is>
          <t>Roman - OFFICE DEPOT</t>
        </is>
      </c>
      <c r="C28" s="5" t="inlineStr">
        <is>
          <t>Regulador - RM-042N-220 - 4 KVA - Bifásico</t>
        </is>
      </c>
      <c r="D28" s="6" t="n">
        <v>47291.04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18/03/2026</t>
        </is>
      </c>
      <c r="B29" s="5" t="inlineStr">
        <is>
          <t>Elizabeth - ACURA</t>
        </is>
      </c>
      <c r="C29" s="5" t="inlineStr">
        <is>
          <t>Regulador - RM-042N-220 - 4 KVA - Bifásico</t>
        </is>
      </c>
      <c r="D29" s="6" t="n">
        <v>47291.04</v>
      </c>
      <c r="E29" s="6">
        <f>D29/1.16</f>
        <v/>
      </c>
      <c r="H29" t="inlineStr">
        <is>
          <t>Hugo</t>
        </is>
      </c>
    </row>
    <row r="30" ht="15" customHeight="1">
      <c r="A30" t="inlineStr">
        <is>
          <t>18/03/2026</t>
        </is>
      </c>
      <c r="B30" s="5" t="inlineStr">
        <is>
          <t>Elizabeth - ACURA</t>
        </is>
      </c>
      <c r="C30" s="5" t="inlineStr">
        <is>
          <t>Regulador - RM-042N-220 - 4 KVA - Bifásico</t>
        </is>
      </c>
      <c r="D30" s="6" t="n">
        <v>47291.04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18/03/2026</t>
        </is>
      </c>
      <c r="B31" s="5" t="inlineStr">
        <is>
          <t>Roman - OFFICE DEPOT</t>
        </is>
      </c>
      <c r="C31" s="5" t="inlineStr">
        <is>
          <t>Regulador - RM-042N-220 - 4 KVA - Bifásico</t>
        </is>
      </c>
      <c r="D31" s="6" t="n">
        <v>47291.04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18/03/2026</t>
        </is>
      </c>
      <c r="B32" s="5" t="inlineStr">
        <is>
          <t>Emiliano Castro - ACME</t>
        </is>
      </c>
      <c r="C32" s="5" t="inlineStr">
        <is>
          <t>Regulador - RM-042N-220 - 4 KVA - Bifásico</t>
        </is>
      </c>
      <c r="D32" s="6" t="n">
        <v>47291.04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18/03/2026</t>
        </is>
      </c>
      <c r="B33" s="5" t="inlineStr">
        <is>
          <t>Emiliano Castro - ACME</t>
        </is>
      </c>
      <c r="C33" s="5" t="inlineStr">
        <is>
          <t>Regulador - RM-042N-220 - 4 KVA - Bifásico</t>
        </is>
      </c>
      <c r="D33" s="6" t="n">
        <v>47291.04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18/03/2026</t>
        </is>
      </c>
      <c r="B34" s="5" t="inlineStr">
        <is>
          <t>Emiliano Castro - ACME</t>
        </is>
      </c>
      <c r="C34" s="5" t="inlineStr">
        <is>
          <t>Regulador - RM-453-220 - 45 KVA - Trifásico</t>
        </is>
      </c>
      <c r="D34" s="6" t="n">
        <v>139583.34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18/03/2026</t>
        </is>
      </c>
      <c r="B35" s="5" t="inlineStr">
        <is>
          <t>Emiliano Castro - ACME</t>
        </is>
      </c>
      <c r="C35" s="5" t="inlineStr">
        <is>
          <t>Regulador - RM-453-220 - 45 KVA - Trifásico</t>
        </is>
      </c>
      <c r="D35" s="6" t="n">
        <v>139583.34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18/03/2026</t>
        </is>
      </c>
      <c r="B36" s="5" t="inlineStr">
        <is>
          <t>Roman - OFFICE DEPOT</t>
        </is>
      </c>
      <c r="C36" s="5" t="inlineStr">
        <is>
          <t>Regulador - RM-042N-220 - 4 KVA - Bifásico</t>
        </is>
      </c>
      <c r="D36" s="6" t="n">
        <v>47291.04</v>
      </c>
      <c r="E36" s="6">
        <f>D36/1.16</f>
        <v/>
      </c>
      <c r="H36" t="inlineStr">
        <is>
          <t>Hugo</t>
        </is>
      </c>
    </row>
    <row r="37" ht="15" customHeight="1">
      <c r="A37" t="inlineStr">
        <is>
          <t>18/03/2026</t>
        </is>
      </c>
      <c r="B37" s="5" t="inlineStr">
        <is>
          <t>Emiliano Castro - ACME</t>
        </is>
      </c>
      <c r="C37" s="5" t="inlineStr">
        <is>
          <t>Regulador - RM-453-220 - 45 KVA - Trifásico</t>
        </is>
      </c>
      <c r="D37" s="6" t="n">
        <v>139583.34</v>
      </c>
      <c r="E37" s="6">
        <f>D37/1.16</f>
        <v/>
      </c>
      <c r="H37" t="inlineStr">
        <is>
          <t>Hugo</t>
        </is>
      </c>
    </row>
    <row r="38" ht="15" customHeight="1">
      <c r="A38" t="inlineStr">
        <is>
          <t>18/03/2026</t>
        </is>
      </c>
      <c r="B38" s="5" t="inlineStr">
        <is>
          <t>Emiliano Castro - ACME</t>
        </is>
      </c>
      <c r="C38" s="5" t="inlineStr">
        <is>
          <t>Regulador - RM-453-220 - 45 KVA - Trifásico</t>
        </is>
      </c>
      <c r="D38" s="6" t="n">
        <v>139583.34</v>
      </c>
      <c r="E38" s="6">
        <f>D38/1.16</f>
        <v/>
      </c>
      <c r="H38" t="inlineStr">
        <is>
          <t>Hugo</t>
        </is>
      </c>
    </row>
    <row r="39" ht="15" customHeight="1">
      <c r="A39" t="inlineStr">
        <is>
          <t>19/03/2026</t>
        </is>
      </c>
      <c r="B39" s="5" t="inlineStr">
        <is>
          <t>Emiliano Castro - ACME</t>
        </is>
      </c>
      <c r="C39" s="5" t="inlineStr">
        <is>
          <t>Regulador - RM-042N-220 - 4 KVA - Bifásico</t>
        </is>
      </c>
      <c r="D39" s="6" t="n">
        <v>47291.04</v>
      </c>
      <c r="E39" s="6">
        <f>D39/1.16</f>
        <v/>
      </c>
      <c r="H39" t="inlineStr">
        <is>
          <t>Hugo</t>
        </is>
      </c>
    </row>
    <row r="40" ht="15" customHeight="1">
      <c r="A40" t="inlineStr">
        <is>
          <t>19/03/2026</t>
        </is>
      </c>
      <c r="B40" s="5" t="inlineStr">
        <is>
          <t>Emiliano Castro - ACME</t>
        </is>
      </c>
      <c r="C40" s="5" t="inlineStr">
        <is>
          <t>Regulador - RM-042N-220 - 4 KVA - Bifásico</t>
        </is>
      </c>
      <c r="D40" s="6" t="n">
        <v>47291.04</v>
      </c>
      <c r="E40" s="6">
        <f>D40/1.16</f>
        <v/>
      </c>
      <c r="H40" t="inlineStr">
        <is>
          <t>Hugo</t>
        </is>
      </c>
    </row>
    <row r="41" ht="15" customHeight="1">
      <c r="A41" t="inlineStr">
        <is>
          <t>19/03/2026</t>
        </is>
      </c>
      <c r="B41" s="5" t="inlineStr">
        <is>
          <t>Roman - OFFICE DEPOT</t>
        </is>
      </c>
      <c r="C41" s="5" t="inlineStr">
        <is>
          <t>Regulador - RM-042N-220 - 4 KVA - Bifásico</t>
        </is>
      </c>
      <c r="D41" s="6" t="n">
        <v>47291.04</v>
      </c>
      <c r="E41" s="6">
        <f>D41/1.16</f>
        <v/>
      </c>
      <c r="H41" t="inlineStr">
        <is>
          <t>Hugo</t>
        </is>
      </c>
    </row>
    <row r="42" ht="15" customHeight="1">
      <c r="A42" t="inlineStr">
        <is>
          <t>20/03/2026</t>
        </is>
      </c>
      <c r="B42" s="5" t="inlineStr">
        <is>
          <t>Roman - OFFICE DEPOT</t>
        </is>
      </c>
      <c r="C42" s="5" t="inlineStr">
        <is>
          <t>Regulador - RM-453-220 - 45 KVA - Trifásico</t>
        </is>
      </c>
      <c r="D42" s="6" t="n">
        <v>139583.34</v>
      </c>
      <c r="E42" s="6">
        <f>D42/1.16</f>
        <v/>
      </c>
      <c r="H42" t="inlineStr">
        <is>
          <t>Hugo</t>
        </is>
      </c>
    </row>
    <row r="43" ht="15" customHeight="1">
      <c r="A43" t="inlineStr">
        <is>
          <t>20/03/2026</t>
        </is>
      </c>
      <c r="B43" s="5" t="inlineStr">
        <is>
          <t>Roman - OFFICE DEPOT</t>
        </is>
      </c>
      <c r="C43" s="5" t="inlineStr">
        <is>
          <t>Regulador - RM-453-220 - 45 KVA - Trifásico</t>
        </is>
      </c>
      <c r="D43" s="6" t="n">
        <v>139583.34</v>
      </c>
      <c r="E43" s="6">
        <f>D43/1.16</f>
        <v/>
      </c>
      <c r="H43" t="inlineStr">
        <is>
          <t>Hugo</t>
        </is>
      </c>
    </row>
    <row r="44" ht="15" customHeight="1">
      <c r="A44" t="inlineStr">
        <is>
          <t>20/03/2026</t>
        </is>
      </c>
      <c r="B44" s="5" t="inlineStr">
        <is>
          <t>Emiliano Castro - ACME</t>
        </is>
      </c>
      <c r="C44" s="5" t="inlineStr">
        <is>
          <t>Regulador - RM-041-127 - 4 KVA - Monofásico</t>
        </is>
      </c>
      <c r="D44" s="6" t="n">
        <v>19572.12</v>
      </c>
      <c r="E44" s="6">
        <f>D44/1.16</f>
        <v/>
      </c>
      <c r="H44" t="inlineStr">
        <is>
          <t>Hugo</t>
        </is>
      </c>
    </row>
    <row r="45" ht="15" customHeight="1">
      <c r="A45" t="inlineStr">
        <is>
          <t>20/03/2026</t>
        </is>
      </c>
      <c r="B45" s="5" t="inlineStr">
        <is>
          <t>Roman - OFFICE DEPOT</t>
        </is>
      </c>
      <c r="C45" s="5" t="inlineStr">
        <is>
          <t>Regulador - RM-042N-220 - 4 KVA - Bifásico</t>
        </is>
      </c>
      <c r="D45" s="6" t="n">
        <v>47460.96744764729</v>
      </c>
      <c r="E45" s="6">
        <f>D45/1.16</f>
        <v/>
      </c>
      <c r="H45" t="inlineStr">
        <is>
          <t>Hugo</t>
        </is>
      </c>
    </row>
    <row r="46" ht="15" customHeight="1">
      <c r="A46" t="inlineStr">
        <is>
          <t>20/03/2026</t>
        </is>
      </c>
      <c r="B46" s="5" t="inlineStr">
        <is>
          <t>Emiliano Castro - ACME</t>
        </is>
      </c>
      <c r="C46" s="5" t="inlineStr">
        <is>
          <t>Regulador - RM-042N-220 - 4 KVA - Bifásico</t>
        </is>
      </c>
      <c r="D46" s="6" t="n">
        <v>47460.96744764729</v>
      </c>
      <c r="E46" s="6">
        <f>D46/1.16</f>
        <v/>
      </c>
      <c r="H46" t="inlineStr">
        <is>
          <t>Hugo</t>
        </is>
      </c>
    </row>
    <row r="47" ht="15" customHeight="1">
      <c r="A47" t="inlineStr">
        <is>
          <t>20/03/2026</t>
        </is>
      </c>
      <c r="B47" s="5" t="inlineStr">
        <is>
          <t>Emiliano Castro - ACME</t>
        </is>
      </c>
      <c r="C47" s="5" t="inlineStr">
        <is>
          <t>Regulador - RM-042N-220 - 4 KVA - Bifásico</t>
        </is>
      </c>
      <c r="D47" s="6" t="n">
        <v>47460.96744764729</v>
      </c>
      <c r="E47" s="6">
        <f>D47/1.16</f>
        <v/>
      </c>
      <c r="H47" t="inlineStr">
        <is>
          <t>Hugo</t>
        </is>
      </c>
    </row>
    <row r="48">
      <c r="A48" s="32" t="n"/>
      <c r="B48" s="32" t="n"/>
      <c r="C48" s="32" t="n"/>
      <c r="D48" s="33" t="inlineStr">
        <is>
          <t>TOTAL SIN IVA</t>
        </is>
      </c>
      <c r="E48" s="34">
        <f>SUM(E21:E47)</f>
        <v/>
      </c>
      <c r="F48" s="32" t="n"/>
      <c r="G48" s="32" t="n"/>
      <c r="H48" s="32" t="n"/>
    </row>
    <row r="49" ht="15" customHeight="1">
      <c r="A49" t="inlineStr">
        <is>
          <t>21/03/2026</t>
        </is>
      </c>
      <c r="B49" s="5" t="inlineStr">
        <is>
          <t>Emiliano Castro - ACME</t>
        </is>
      </c>
      <c r="C49" s="5" t="inlineStr">
        <is>
          <t>Regulador - RM-042N-220 - 4 KVA - Bifásico</t>
        </is>
      </c>
      <c r="D49" s="6" t="n">
        <v>47291.04</v>
      </c>
      <c r="E49" s="6">
        <f>D49/1.16</f>
        <v/>
      </c>
      <c r="F49" s="26">
        <f>SUM(E49:E64)</f>
        <v/>
      </c>
      <c r="G49" s="8" t="inlineStr">
        <is>
          <t>Semana 4 (27-mar)</t>
        </is>
      </c>
      <c r="H49" t="inlineStr">
        <is>
          <t>Hugo</t>
        </is>
      </c>
    </row>
    <row r="50" ht="15" customHeight="1">
      <c r="A50" t="inlineStr">
        <is>
          <t>23/03/2026</t>
        </is>
      </c>
      <c r="B50" s="5" t="inlineStr">
        <is>
          <t>Roman - OFFICE DEPOT</t>
        </is>
      </c>
      <c r="C50" s="5" t="inlineStr">
        <is>
          <t>Regulador - RM-042N-220 - 4 KVA - Bifásico</t>
        </is>
      </c>
      <c r="D50" s="6" t="n">
        <v>47291.04</v>
      </c>
      <c r="E50" s="6">
        <f>D50/1.16</f>
        <v/>
      </c>
      <c r="H50" t="inlineStr">
        <is>
          <t>Hugo</t>
        </is>
      </c>
    </row>
    <row r="51" ht="15" customHeight="1">
      <c r="A51" t="inlineStr">
        <is>
          <t>23/03/2026</t>
        </is>
      </c>
      <c r="B51" s="5" t="inlineStr">
        <is>
          <t>Emiliano Castro - ACME</t>
        </is>
      </c>
      <c r="C51" s="5" t="inlineStr">
        <is>
          <t>Regulador - RM-042N-220 - 4 KVA - Bifásico</t>
        </is>
      </c>
      <c r="D51" s="6" t="n">
        <v>47291.04</v>
      </c>
      <c r="E51" s="6">
        <f>D51/1.16</f>
        <v/>
      </c>
      <c r="H51" t="inlineStr">
        <is>
          <t>Hugo</t>
        </is>
      </c>
    </row>
    <row r="52" ht="15" customHeight="1">
      <c r="A52" t="inlineStr">
        <is>
          <t>23/03/2026</t>
        </is>
      </c>
      <c r="B52" s="5" t="inlineStr">
        <is>
          <t>Emiliano Castro - ACME</t>
        </is>
      </c>
      <c r="C52" s="5" t="inlineStr">
        <is>
          <t>Regulador - RM-042N-220 - 4 KVA - Bifásico</t>
        </is>
      </c>
      <c r="D52" s="6" t="n">
        <v>47291.04</v>
      </c>
      <c r="E52" s="6">
        <f>D52/1.16</f>
        <v/>
      </c>
      <c r="H52" t="inlineStr">
        <is>
          <t>Hugo</t>
        </is>
      </c>
    </row>
    <row r="53" ht="15" customHeight="1">
      <c r="A53" t="inlineStr">
        <is>
          <t>23/03/2026</t>
        </is>
      </c>
      <c r="B53" s="5" t="inlineStr">
        <is>
          <t>Emiliano Castro - ACME</t>
        </is>
      </c>
      <c r="C53" s="5" t="inlineStr">
        <is>
          <t>Regulador - RM-042N-220 - 4 KVA - Bifásico</t>
        </is>
      </c>
      <c r="D53" s="6" t="n">
        <v>47291.04</v>
      </c>
      <c r="E53" s="6">
        <f>D53/1.16</f>
        <v/>
      </c>
      <c r="H53" t="inlineStr">
        <is>
          <t>Hugo</t>
        </is>
      </c>
    </row>
    <row r="54" ht="15" customHeight="1">
      <c r="A54" t="inlineStr">
        <is>
          <t>24/03/2026</t>
        </is>
      </c>
      <c r="B54" s="5" t="inlineStr">
        <is>
          <t>Roman - OFFICE DEPOT</t>
        </is>
      </c>
      <c r="C54" s="5" t="inlineStr">
        <is>
          <t>Regulador - RM-051-120 - 5 KVA - Monofásico</t>
        </is>
      </c>
      <c r="D54" s="6" t="n">
        <v>19572.12</v>
      </c>
      <c r="E54" s="6">
        <f>D54/1.16</f>
        <v/>
      </c>
      <c r="H54" t="inlineStr">
        <is>
          <t>Hugo</t>
        </is>
      </c>
    </row>
    <row r="55" ht="15" customHeight="1">
      <c r="A55" t="inlineStr">
        <is>
          <t>24/03/2026</t>
        </is>
      </c>
      <c r="B55" s="5" t="inlineStr">
        <is>
          <t>Emiliano Castro - ACME</t>
        </is>
      </c>
      <c r="C55" s="5" t="inlineStr">
        <is>
          <t>Regulador - RM-051-120 - 5 KVA - Monofásico</t>
        </is>
      </c>
      <c r="D55" s="6" t="n">
        <v>19572.12</v>
      </c>
      <c r="E55" s="6">
        <f>D55/1.16</f>
        <v/>
      </c>
      <c r="H55" t="inlineStr">
        <is>
          <t>Hugo</t>
        </is>
      </c>
    </row>
    <row r="56" ht="15" customHeight="1">
      <c r="A56" t="inlineStr">
        <is>
          <t>24/03/2026</t>
        </is>
      </c>
      <c r="B56" s="5" t="inlineStr">
        <is>
          <t>Emiliano Castro - ACME</t>
        </is>
      </c>
      <c r="C56" s="5" t="inlineStr">
        <is>
          <t>Regulador - RM-051-120 - 5 KVA - Monofásico</t>
        </is>
      </c>
      <c r="D56" s="6" t="n">
        <v>19572.12</v>
      </c>
      <c r="E56" s="6">
        <f>D56/1.16</f>
        <v/>
      </c>
      <c r="H56" t="inlineStr">
        <is>
          <t>Hugo</t>
        </is>
      </c>
    </row>
    <row r="57" ht="15" customHeight="1">
      <c r="A57" t="inlineStr">
        <is>
          <t>24/03/2026</t>
        </is>
      </c>
      <c r="B57" s="5" t="inlineStr">
        <is>
          <t>Emiliano Castro - ACME</t>
        </is>
      </c>
      <c r="C57" s="5" t="inlineStr">
        <is>
          <t>Regulador - RM-051-127 - 5 KVA - Monofásico</t>
        </is>
      </c>
      <c r="D57" s="6" t="n">
        <v>19572.12</v>
      </c>
      <c r="E57" s="6">
        <f>D57/1.16</f>
        <v/>
      </c>
      <c r="H57" t="inlineStr">
        <is>
          <t>Hugo</t>
        </is>
      </c>
    </row>
    <row r="58" ht="15" customHeight="1">
      <c r="A58" t="inlineStr">
        <is>
          <t>24/03/2026</t>
        </is>
      </c>
      <c r="B58" s="5" t="inlineStr">
        <is>
          <t>Emiliano Castro - ACME</t>
        </is>
      </c>
      <c r="C58" s="5" t="inlineStr">
        <is>
          <t>Regulador - RM-051-127 - 5 KVA - Monofásico</t>
        </is>
      </c>
      <c r="D58" s="6" t="n">
        <v>19572.12</v>
      </c>
      <c r="E58" s="6">
        <f>D58/1.16</f>
        <v/>
      </c>
      <c r="H58" t="inlineStr">
        <is>
          <t>Hugo</t>
        </is>
      </c>
    </row>
    <row r="59" ht="15" customHeight="1">
      <c r="A59" t="inlineStr">
        <is>
          <t>24/03/2026</t>
        </is>
      </c>
      <c r="B59" s="5" t="inlineStr">
        <is>
          <t>Emiliano Castro - ACME</t>
        </is>
      </c>
      <c r="C59" s="5" t="inlineStr">
        <is>
          <t>Regulador - RM-051-127 - 5 KVA - Monofásico</t>
        </is>
      </c>
      <c r="D59" s="6" t="n">
        <v>19572.12</v>
      </c>
      <c r="E59" s="6">
        <f>D59/1.16</f>
        <v/>
      </c>
      <c r="H59" t="inlineStr">
        <is>
          <t>Hugo</t>
        </is>
      </c>
    </row>
    <row r="60" ht="15" customHeight="1">
      <c r="A60" t="inlineStr">
        <is>
          <t>24/03/2026</t>
        </is>
      </c>
      <c r="B60" s="5" t="inlineStr">
        <is>
          <t>Emiliano Castro - ACME</t>
        </is>
      </c>
      <c r="C60" s="5" t="inlineStr">
        <is>
          <t>Regulador - RM-051-127 - 5 KVA - Monofásico</t>
        </is>
      </c>
      <c r="D60" s="6" t="n">
        <v>19572.12</v>
      </c>
      <c r="E60" s="6">
        <f>D60/1.16</f>
        <v/>
      </c>
      <c r="H60" t="inlineStr">
        <is>
          <t>Hugo</t>
        </is>
      </c>
    </row>
    <row r="61" ht="15" customHeight="1">
      <c r="A61" t="inlineStr">
        <is>
          <t>24/03/2026</t>
        </is>
      </c>
      <c r="B61" s="5" t="inlineStr">
        <is>
          <t>Roman - OFFICE DEPOT</t>
        </is>
      </c>
      <c r="C61" s="5" t="inlineStr">
        <is>
          <t>Regulador - RM-051-127 - 5 KVA - Monofásico</t>
        </is>
      </c>
      <c r="D61" s="6" t="n">
        <v>19572.12</v>
      </c>
      <c r="E61" s="6">
        <f>D61/1.16</f>
        <v/>
      </c>
      <c r="H61" t="inlineStr">
        <is>
          <t>Hugo</t>
        </is>
      </c>
    </row>
    <row r="62" ht="15" customHeight="1">
      <c r="A62" t="inlineStr">
        <is>
          <t>24/03/2026</t>
        </is>
      </c>
      <c r="B62" s="5" t="inlineStr">
        <is>
          <t>Emiliano Castro - ACME</t>
        </is>
      </c>
      <c r="C62" s="5" t="inlineStr">
        <is>
          <t>Regulador - RM-051-127 - 5 KVA - Monofásico</t>
        </is>
      </c>
      <c r="D62" s="6" t="n">
        <v>19572.12</v>
      </c>
      <c r="E62" s="6">
        <f>D62/1.16</f>
        <v/>
      </c>
      <c r="H62" t="inlineStr">
        <is>
          <t>Hugo</t>
        </is>
      </c>
    </row>
    <row r="63" ht="15" customHeight="1">
      <c r="A63" t="inlineStr">
        <is>
          <t>24/03/2026</t>
        </is>
      </c>
      <c r="B63" s="5" t="inlineStr">
        <is>
          <t>Emiliano Castro - ACME</t>
        </is>
      </c>
      <c r="C63" s="5" t="inlineStr">
        <is>
          <t>Regulador - RM-042N-220 - 4 KVA - Bifásico</t>
        </is>
      </c>
      <c r="D63" s="6" t="n">
        <v>47291.04</v>
      </c>
      <c r="E63" s="6">
        <f>D63/1.16</f>
        <v/>
      </c>
      <c r="H63" t="inlineStr">
        <is>
          <t>Hugo</t>
        </is>
      </c>
    </row>
    <row r="64" ht="15" customHeight="1">
      <c r="A64" t="inlineStr">
        <is>
          <t>24/03/2026</t>
        </is>
      </c>
      <c r="B64" s="5" t="inlineStr">
        <is>
          <t>Emiliano Castro - ACME</t>
        </is>
      </c>
      <c r="C64" s="5" t="inlineStr">
        <is>
          <t>Regulador - RM-051-127 - 5 KVA - Monofásico</t>
        </is>
      </c>
      <c r="D64" s="6" t="n">
        <v>19572.12</v>
      </c>
      <c r="E64" s="6">
        <f>D64/1.16</f>
        <v/>
      </c>
      <c r="H64" t="inlineStr">
        <is>
          <t>Hugo</t>
        </is>
      </c>
    </row>
    <row r="65">
      <c r="A65" s="32" t="n"/>
      <c r="B65" s="32" t="n"/>
      <c r="C65" s="32" t="n"/>
      <c r="D65" s="33" t="inlineStr">
        <is>
          <t>TOTAL SIN IVA</t>
        </is>
      </c>
      <c r="E65" s="34">
        <f>SUM(E49:E64)</f>
        <v/>
      </c>
      <c r="F65" s="32" t="n"/>
      <c r="G65" s="32" t="n"/>
      <c r="H65" s="32" t="n"/>
    </row>
    <row r="66">
      <c r="D66" s="20" t="inlineStr">
        <is>
          <t>VENTAS MARZO</t>
        </is>
      </c>
      <c r="E66" s="21">
        <f>E20+E48+E65</f>
        <v/>
      </c>
    </row>
  </sheetData>
  <mergeCells count="18">
    <mergeCell ref="A5:A6"/>
    <mergeCell ref="G5:G6"/>
    <mergeCell ref="A3:H3"/>
    <mergeCell ref="H5:H6"/>
    <mergeCell ref="G49:G64"/>
    <mergeCell ref="F9:F19"/>
    <mergeCell ref="A2:H2"/>
    <mergeCell ref="G21:G47"/>
    <mergeCell ref="D5:E5"/>
    <mergeCell ref="F21:F47"/>
    <mergeCell ref="J9:K9"/>
    <mergeCell ref="J10:K11"/>
    <mergeCell ref="F49:F64"/>
    <mergeCell ref="F5:F6"/>
    <mergeCell ref="A8:H8"/>
    <mergeCell ref="B5:B6"/>
    <mergeCell ref="G9:G19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5" t="inlineStr">
        <is>
          <t>Comisions Mensual Equipo de Comercializacion 2026</t>
        </is>
      </c>
    </row>
    <row r="2">
      <c r="A2" s="36" t="inlineStr">
        <is>
          <t>Reguladores Electrónicos, Equipos de EC, UPS, No Breaks, Plantas, Transformadores, Instalaciones</t>
        </is>
      </c>
    </row>
    <row r="4" ht="21" customHeight="1">
      <c r="A4" s="37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8" t="inlineStr">
        <is>
          <t>Fecha</t>
        </is>
      </c>
      <c r="B5" s="38" t="inlineStr">
        <is>
          <t>Cliente</t>
        </is>
      </c>
      <c r="C5" s="38" t="inlineStr">
        <is>
          <t>Concepto</t>
        </is>
      </c>
      <c r="D5" s="38" t="inlineStr">
        <is>
          <t>Deposito</t>
        </is>
      </c>
      <c r="E5" s="3" t="n"/>
      <c r="F5" s="38" t="inlineStr">
        <is>
          <t>Precio Proveedor</t>
        </is>
      </c>
      <c r="G5" s="3" t="n"/>
      <c r="H5" s="39" t="inlineStr">
        <is>
          <t>Base para
Comisión</t>
        </is>
      </c>
      <c r="I5" s="39" t="inlineStr">
        <is>
          <t>Comision</t>
        </is>
      </c>
      <c r="J5" s="39" t="inlineStr">
        <is>
          <t>Vendedor</t>
        </is>
      </c>
    </row>
    <row r="6">
      <c r="A6" s="3" t="n"/>
      <c r="B6" s="3" t="n"/>
      <c r="C6" s="3" t="n"/>
      <c r="D6" s="38" t="inlineStr">
        <is>
          <t>Con IVA</t>
        </is>
      </c>
      <c r="E6" s="38" t="inlineStr">
        <is>
          <t>Sin IVA</t>
        </is>
      </c>
      <c r="F6" s="38" t="inlineStr">
        <is>
          <t>Con IVA</t>
        </is>
      </c>
      <c r="G6" s="38" t="inlineStr">
        <is>
          <t>Sin IVA</t>
        </is>
      </c>
      <c r="H6" s="3" t="n"/>
      <c r="I6" s="3" t="n"/>
      <c r="J6" s="3" t="n"/>
    </row>
    <row r="7">
      <c r="A7" s="40" t="inlineStr">
        <is>
          <t>11/03/2026</t>
        </is>
      </c>
      <c r="B7" s="41" t="inlineStr">
        <is>
          <t>Emiliano Castro - ACME</t>
        </is>
      </c>
      <c r="C7" s="41" t="inlineStr">
        <is>
          <t>Saldo - UPS - UPS-1000VA - 1000VA</t>
        </is>
      </c>
      <c r="D7" s="42" t="n">
        <v>4613.036276176354</v>
      </c>
      <c r="E7" s="42">
        <f>D7/1.16</f>
        <v/>
      </c>
      <c r="F7" s="42" t="n">
        <v>4500</v>
      </c>
      <c r="G7" s="42">
        <f>F7/1.16</f>
        <v/>
      </c>
      <c r="H7" s="42">
        <f>E7-G7</f>
        <v/>
      </c>
      <c r="I7" s="42">
        <f>H7*0.05</f>
        <v/>
      </c>
      <c r="J7" s="43" t="inlineStr">
        <is>
          <t>Hugo</t>
        </is>
      </c>
    </row>
    <row r="8">
      <c r="A8" s="40" t="inlineStr">
        <is>
          <t>11/03/2026</t>
        </is>
      </c>
      <c r="B8" s="41" t="inlineStr">
        <is>
          <t>Emiliano Castro - ACME</t>
        </is>
      </c>
      <c r="C8" s="41" t="inlineStr">
        <is>
          <t>Anticipo - UPS - UPS-1000VA - 1000VA</t>
        </is>
      </c>
      <c r="D8" s="42" t="n">
        <v>4613.036276176354</v>
      </c>
      <c r="E8" s="42">
        <f>D8/1.16</f>
        <v/>
      </c>
      <c r="F8" s="42" t="n">
        <v>4500</v>
      </c>
      <c r="G8" s="42">
        <f>F8/1.16</f>
        <v/>
      </c>
      <c r="H8" s="42">
        <f>E8-G8</f>
        <v/>
      </c>
      <c r="I8" s="42">
        <f>H8*0.05</f>
        <v/>
      </c>
      <c r="J8" s="44" t="n"/>
    </row>
    <row r="9">
      <c r="A9" s="40" t="inlineStr">
        <is>
          <t>11/03/2026</t>
        </is>
      </c>
      <c r="B9" s="41" t="inlineStr">
        <is>
          <t>Emiliano Castro - ACME</t>
        </is>
      </c>
      <c r="C9" s="41" t="inlineStr">
        <is>
          <t>Saldo - UPS - UPS-1000VA - 1000VA</t>
        </is>
      </c>
      <c r="D9" s="42" t="n">
        <v>4613.036276176354</v>
      </c>
      <c r="E9" s="42">
        <f>D9/1.16</f>
        <v/>
      </c>
      <c r="F9" s="42" t="n">
        <v>4500</v>
      </c>
      <c r="G9" s="42">
        <f>F9/1.16</f>
        <v/>
      </c>
      <c r="H9" s="42">
        <f>E9-G9</f>
        <v/>
      </c>
      <c r="I9" s="42">
        <f>H9*0.05</f>
        <v/>
      </c>
      <c r="J9" s="44" t="n"/>
    </row>
    <row r="10">
      <c r="A10" s="40" t="inlineStr">
        <is>
          <t>11/03/2026</t>
        </is>
      </c>
      <c r="B10" s="41" t="inlineStr">
        <is>
          <t>Elizabeth - ACURA</t>
        </is>
      </c>
      <c r="C10" s="41" t="inlineStr">
        <is>
          <t>Anticipo - UPS - UPS-1000VA - 1000VA</t>
        </is>
      </c>
      <c r="D10" s="42" t="n">
        <v>4613.036276176354</v>
      </c>
      <c r="E10" s="42">
        <f>D10/1.16</f>
        <v/>
      </c>
      <c r="F10" s="42" t="n">
        <v>4500</v>
      </c>
      <c r="G10" s="42">
        <f>F10/1.16</f>
        <v/>
      </c>
      <c r="H10" s="42">
        <f>E10-G10</f>
        <v/>
      </c>
      <c r="I10" s="42">
        <f>H10*0.05</f>
        <v/>
      </c>
      <c r="J10" s="44" t="n"/>
    </row>
    <row r="11">
      <c r="A11" s="40" t="inlineStr">
        <is>
          <t>11/03/2026</t>
        </is>
      </c>
      <c r="B11" s="41" t="inlineStr">
        <is>
          <t>Elizabeth - ACURA</t>
        </is>
      </c>
      <c r="C11" s="41" t="inlineStr">
        <is>
          <t>Saldo - UPS - UPS-1000VA - 1000VA</t>
        </is>
      </c>
      <c r="D11" s="42" t="n">
        <v>4613.036276176354</v>
      </c>
      <c r="E11" s="42">
        <f>D11/1.16</f>
        <v/>
      </c>
      <c r="F11" s="42" t="n">
        <v>4500</v>
      </c>
      <c r="G11" s="42">
        <f>F11/1.16</f>
        <v/>
      </c>
      <c r="H11" s="42">
        <f>E11-G11</f>
        <v/>
      </c>
      <c r="I11" s="42">
        <f>H11*0.05</f>
        <v/>
      </c>
      <c r="J11" s="44" t="n"/>
    </row>
    <row r="12">
      <c r="A12" s="40" t="inlineStr">
        <is>
          <t>11/03/2026</t>
        </is>
      </c>
      <c r="B12" s="41" t="inlineStr">
        <is>
          <t>Elizabeth - ACURA</t>
        </is>
      </c>
      <c r="C12" s="41" t="inlineStr">
        <is>
          <t>Anticipo - UPS - UPS-1000VA - 1000VA</t>
        </is>
      </c>
      <c r="D12" s="42" t="n">
        <v>4613.036276176354</v>
      </c>
      <c r="E12" s="42">
        <f>D12/1.16</f>
        <v/>
      </c>
      <c r="F12" s="42" t="n">
        <v>4500</v>
      </c>
      <c r="G12" s="42">
        <f>F12/1.16</f>
        <v/>
      </c>
      <c r="H12" s="42">
        <f>E12-G12</f>
        <v/>
      </c>
      <c r="I12" s="42">
        <f>H12*0.05</f>
        <v/>
      </c>
      <c r="J12" s="44" t="n"/>
    </row>
    <row r="13">
      <c r="A13" s="40" t="inlineStr">
        <is>
          <t>11/03/2026</t>
        </is>
      </c>
      <c r="B13" s="41" t="inlineStr">
        <is>
          <t>Elizabeth - ACURA</t>
        </is>
      </c>
      <c r="C13" s="41" t="inlineStr">
        <is>
          <t>Saldo - UPS - UPS-1000VA - 1000VA</t>
        </is>
      </c>
      <c r="D13" s="42" t="n">
        <v>4613.036276176354</v>
      </c>
      <c r="E13" s="42">
        <f>D13/1.16</f>
        <v/>
      </c>
      <c r="F13" s="42" t="n">
        <v>4500</v>
      </c>
      <c r="G13" s="42">
        <f>F13/1.16</f>
        <v/>
      </c>
      <c r="H13" s="42">
        <f>E13-G13</f>
        <v/>
      </c>
      <c r="I13" s="42">
        <f>H13*0.05</f>
        <v/>
      </c>
      <c r="J13" s="44" t="n"/>
    </row>
    <row r="14">
      <c r="A14" s="40" t="inlineStr">
        <is>
          <t>11/03/2026</t>
        </is>
      </c>
      <c r="B14" s="41" t="inlineStr">
        <is>
          <t>Elizabeth - ACURA</t>
        </is>
      </c>
      <c r="C14" s="41" t="inlineStr">
        <is>
          <t>UPS - UPS-1000VA - 1000VA</t>
        </is>
      </c>
      <c r="D14" s="42" t="n">
        <v>9226.072552352707</v>
      </c>
      <c r="E14" s="42">
        <f>D14/1.16</f>
        <v/>
      </c>
      <c r="F14" s="42" t="n">
        <v>4500</v>
      </c>
      <c r="G14" s="42">
        <f>F14/1.16</f>
        <v/>
      </c>
      <c r="H14" s="42">
        <f>E14-G14</f>
        <v/>
      </c>
      <c r="I14" s="42">
        <f>H14*0.05</f>
        <v/>
      </c>
      <c r="J14" s="44" t="n"/>
    </row>
    <row r="15">
      <c r="A15" s="40" t="inlineStr">
        <is>
          <t>18/03/2026</t>
        </is>
      </c>
      <c r="B15" s="41" t="inlineStr">
        <is>
          <t>Emiliano Castro - ACME</t>
        </is>
      </c>
      <c r="C15" s="41" t="inlineStr">
        <is>
          <t>UPS - UPS-1000VA - 1000VA</t>
        </is>
      </c>
      <c r="D15" s="42" t="n">
        <v>9226.072552352707</v>
      </c>
      <c r="E15" s="42">
        <f>D15/1.16</f>
        <v/>
      </c>
      <c r="F15" s="42" t="n">
        <v>4500</v>
      </c>
      <c r="G15" s="42">
        <f>F15/1.16</f>
        <v/>
      </c>
      <c r="H15" s="42">
        <f>E15-G15</f>
        <v/>
      </c>
      <c r="I15" s="42">
        <f>H15*0.05</f>
        <v/>
      </c>
      <c r="J15" s="44" t="n"/>
    </row>
    <row r="16">
      <c r="A16" s="40" t="inlineStr">
        <is>
          <t>20/03/2026</t>
        </is>
      </c>
      <c r="B16" s="41" t="inlineStr">
        <is>
          <t>Roman - OFFICE DEPOT</t>
        </is>
      </c>
      <c r="C16" s="41" t="inlineStr">
        <is>
          <t>UPS - UPS-1000VA - 1000VA</t>
        </is>
      </c>
      <c r="D16" s="42" t="n">
        <v>9226.072552352707</v>
      </c>
      <c r="E16" s="42">
        <f>D16/1.16</f>
        <v/>
      </c>
      <c r="F16" s="42" t="n">
        <v>4500</v>
      </c>
      <c r="G16" s="42">
        <f>F16/1.16</f>
        <v/>
      </c>
      <c r="H16" s="42">
        <f>E16-G16</f>
        <v/>
      </c>
      <c r="I16" s="42">
        <f>H16*0.05</f>
        <v/>
      </c>
      <c r="J16" s="44" t="n"/>
    </row>
    <row r="17">
      <c r="A17" s="40" t="inlineStr">
        <is>
          <t>20/03/2026</t>
        </is>
      </c>
      <c r="B17" s="41" t="inlineStr">
        <is>
          <t>Emiliano Castro - ACME</t>
        </is>
      </c>
      <c r="C17" s="41" t="inlineStr">
        <is>
          <t>UPS - UPS-1000VA - 1000VA</t>
        </is>
      </c>
      <c r="D17" s="42" t="n">
        <v>9226.072552352707</v>
      </c>
      <c r="E17" s="42">
        <f>D17/1.16</f>
        <v/>
      </c>
      <c r="F17" s="42" t="n">
        <v>4000</v>
      </c>
      <c r="G17" s="42">
        <f>F17/1.16</f>
        <v/>
      </c>
      <c r="H17" s="42">
        <f>E17-G17</f>
        <v/>
      </c>
      <c r="I17" s="42">
        <f>H17*0.05</f>
        <v/>
      </c>
      <c r="J17" s="44" t="n"/>
    </row>
    <row r="18">
      <c r="A18" s="40" t="inlineStr">
        <is>
          <t>20/03/2026</t>
        </is>
      </c>
      <c r="B18" s="41" t="inlineStr">
        <is>
          <t>Emiliano Castro - ACME</t>
        </is>
      </c>
      <c r="C18" s="41" t="inlineStr">
        <is>
          <t>UPS - UPS-1000VA - 1000VA</t>
        </is>
      </c>
      <c r="D18" s="42" t="n">
        <v>9226.072552352707</v>
      </c>
      <c r="E18" s="42">
        <f>D18/1.16</f>
        <v/>
      </c>
      <c r="F18" s="42" t="n">
        <v>4000</v>
      </c>
      <c r="G18" s="42">
        <f>F18/1.16</f>
        <v/>
      </c>
      <c r="H18" s="42">
        <f>E18-G18</f>
        <v/>
      </c>
      <c r="I18" s="42">
        <f>H18*0.05</f>
        <v/>
      </c>
      <c r="J18" s="44" t="n"/>
    </row>
    <row r="19">
      <c r="A19" s="40" t="inlineStr">
        <is>
          <t>21/03/2026</t>
        </is>
      </c>
      <c r="B19" s="41" t="inlineStr">
        <is>
          <t>Emiliano Castro - ACME</t>
        </is>
      </c>
      <c r="C19" s="41" t="inlineStr">
        <is>
          <t>Transformador - RMT-1.51-24 - 1.5 KVA - Monofásico</t>
        </is>
      </c>
      <c r="D19" s="42" t="n">
        <v>19000.8</v>
      </c>
      <c r="E19" s="42">
        <f>D19/1.16</f>
        <v/>
      </c>
      <c r="F19" s="42" t="n">
        <v>4000</v>
      </c>
      <c r="G19" s="42">
        <f>F19/1.16</f>
        <v/>
      </c>
      <c r="H19" s="42">
        <f>E19-G19</f>
        <v/>
      </c>
      <c r="I19" s="42">
        <f>H19*0.05</f>
        <v/>
      </c>
      <c r="J19" s="44" t="n"/>
    </row>
    <row r="20">
      <c r="A20" s="40" t="inlineStr">
        <is>
          <t>21/03/2026</t>
        </is>
      </c>
      <c r="B20" s="41" t="inlineStr">
        <is>
          <t>Emiliano Castro - ACME</t>
        </is>
      </c>
      <c r="C20" s="41" t="inlineStr">
        <is>
          <t>Transformador - RMT-1.51-24 - 1.5 KVA - Monofásico</t>
        </is>
      </c>
      <c r="D20" s="42" t="n">
        <v>18792</v>
      </c>
      <c r="E20" s="42">
        <f>D20/1.16</f>
        <v/>
      </c>
      <c r="F20" s="42" t="n">
        <v>5000</v>
      </c>
      <c r="G20" s="42">
        <f>F20/1.16</f>
        <v/>
      </c>
      <c r="H20" s="42">
        <f>E20-G20</f>
        <v/>
      </c>
      <c r="I20" s="42">
        <f>H20*0.05</f>
        <v/>
      </c>
      <c r="J20" s="44" t="n"/>
    </row>
    <row r="21">
      <c r="A21" s="40" t="inlineStr">
        <is>
          <t>21/03/2026</t>
        </is>
      </c>
      <c r="B21" s="41" t="inlineStr">
        <is>
          <t>Emiliano Castro - ACME</t>
        </is>
      </c>
      <c r="C21" s="41" t="inlineStr">
        <is>
          <t>Transformador - RMT-1.51-24 - 1.5 KVA - Monofásico</t>
        </is>
      </c>
      <c r="D21" s="42" t="n">
        <v>18792</v>
      </c>
      <c r="E21" s="42">
        <f>D21/1.16</f>
        <v/>
      </c>
      <c r="F21" s="42" t="n">
        <v>4000</v>
      </c>
      <c r="G21" s="42">
        <f>F21/1.16</f>
        <v/>
      </c>
      <c r="H21" s="42">
        <f>E21-G21</f>
        <v/>
      </c>
      <c r="I21" s="42">
        <f>H21*0.05</f>
        <v/>
      </c>
      <c r="J21" s="44" t="n"/>
    </row>
    <row r="22">
      <c r="A22" s="40" t="inlineStr">
        <is>
          <t>21/03/2026</t>
        </is>
      </c>
      <c r="B22" s="41" t="inlineStr">
        <is>
          <t>Emiliano Castro - ACME</t>
        </is>
      </c>
      <c r="C22" s="41" t="inlineStr">
        <is>
          <t>Transformador - RMT-1.51-24 - 1.5 KVA - Monofásico</t>
        </is>
      </c>
      <c r="D22" s="42" t="n">
        <v>18792</v>
      </c>
      <c r="E22" s="42">
        <f>D22/1.16</f>
        <v/>
      </c>
      <c r="F22" s="42" t="n">
        <v>5000</v>
      </c>
      <c r="G22" s="42">
        <f>F22/1.16</f>
        <v/>
      </c>
      <c r="H22" s="42">
        <f>E22-G22</f>
        <v/>
      </c>
      <c r="I22" s="42">
        <f>H22*0.05</f>
        <v/>
      </c>
      <c r="J22" s="44" t="n"/>
    </row>
    <row r="23">
      <c r="A23" s="40" t="inlineStr">
        <is>
          <t>21/03/2026</t>
        </is>
      </c>
      <c r="B23" s="41" t="inlineStr">
        <is>
          <t>Emiliano Castro - ACME</t>
        </is>
      </c>
      <c r="C23" s="41" t="inlineStr">
        <is>
          <t>Transformador - RMT-1.51-24 - 1.5 KVA - Monofásico</t>
        </is>
      </c>
      <c r="D23" s="42" t="n">
        <v>18792</v>
      </c>
      <c r="E23" s="42">
        <f>D23/1.16</f>
        <v/>
      </c>
      <c r="F23" s="42" t="n">
        <v>4000</v>
      </c>
      <c r="G23" s="42">
        <f>F23/1.16</f>
        <v/>
      </c>
      <c r="H23" s="42">
        <f>E23-G23</f>
        <v/>
      </c>
      <c r="I23" s="42">
        <f>H23*0.05</f>
        <v/>
      </c>
      <c r="J23" s="44" t="n"/>
    </row>
    <row r="24">
      <c r="A24" s="40" t="inlineStr">
        <is>
          <t>21/03/2026</t>
        </is>
      </c>
      <c r="B24" s="41" t="inlineStr">
        <is>
          <t>Emiliano Castro - ACME</t>
        </is>
      </c>
      <c r="C24" s="41" t="inlineStr">
        <is>
          <t>Transformador - RMT-1.51-24 - 1.5 KVA - Monofásico</t>
        </is>
      </c>
      <c r="D24" s="42" t="n">
        <v>18792</v>
      </c>
      <c r="E24" s="42">
        <f>D24/1.16</f>
        <v/>
      </c>
      <c r="F24" s="42" t="n">
        <v>4000</v>
      </c>
      <c r="G24" s="42">
        <f>F24/1.16</f>
        <v/>
      </c>
      <c r="H24" s="42">
        <f>E24-G24</f>
        <v/>
      </c>
      <c r="I24" s="42">
        <f>H24*0.05</f>
        <v/>
      </c>
      <c r="J24" s="44" t="n"/>
    </row>
    <row r="25">
      <c r="A25" s="40" t="inlineStr">
        <is>
          <t>23/03/2026</t>
        </is>
      </c>
      <c r="B25" s="41" t="inlineStr">
        <is>
          <t>Elizabeth - ACURA</t>
        </is>
      </c>
      <c r="C25" s="41" t="inlineStr">
        <is>
          <t>Transformador - RMT-1.51-24 - 1.5 KVA - Monofásico</t>
        </is>
      </c>
      <c r="D25" s="42" t="n">
        <v>18792</v>
      </c>
      <c r="E25" s="42">
        <f>D25/1.16</f>
        <v/>
      </c>
      <c r="F25" s="42" t="n">
        <v>4000</v>
      </c>
      <c r="G25" s="42">
        <f>F25/1.16</f>
        <v/>
      </c>
      <c r="H25" s="42">
        <f>E25-G25</f>
        <v/>
      </c>
      <c r="I25" s="42">
        <f>H25*0.05</f>
        <v/>
      </c>
      <c r="J25" s="44" t="n"/>
    </row>
    <row r="26">
      <c r="A26" s="40" t="inlineStr">
        <is>
          <t>23/03/2026</t>
        </is>
      </c>
      <c r="B26" s="41" t="inlineStr">
        <is>
          <t>Emiliano Castro - ACME</t>
        </is>
      </c>
      <c r="C26" s="41" t="inlineStr">
        <is>
          <t>Transformador - RMT-1.51-24 - 1.5 KVA - Monofásico</t>
        </is>
      </c>
      <c r="D26" s="42" t="n">
        <v>18792</v>
      </c>
      <c r="E26" s="42">
        <f>D26/1.16</f>
        <v/>
      </c>
      <c r="F26" s="42" t="n">
        <v>4000</v>
      </c>
      <c r="G26" s="42">
        <f>F26/1.16</f>
        <v/>
      </c>
      <c r="H26" s="42">
        <f>E26-G26</f>
        <v/>
      </c>
      <c r="I26" s="42">
        <f>H26*0.05</f>
        <v/>
      </c>
      <c r="J26" s="44" t="n"/>
    </row>
    <row r="27">
      <c r="A27" s="45" t="n"/>
      <c r="B27" s="45" t="n"/>
      <c r="C27" s="45" t="n"/>
      <c r="D27" s="45" t="n"/>
      <c r="E27" s="45" t="n"/>
      <c r="F27" s="45" t="n"/>
      <c r="G27" s="45" t="n"/>
      <c r="H27" s="46" t="inlineStr">
        <is>
          <t>TOTAL</t>
        </is>
      </c>
      <c r="I27" s="47">
        <f>SUM(I7:I26)</f>
        <v/>
      </c>
      <c r="J27" s="48" t="n"/>
    </row>
    <row r="28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50" t="inlineStr">
        <is>
          <t>Marlen</t>
        </is>
      </c>
    </row>
    <row r="29">
      <c r="A29" s="51" t="n"/>
      <c r="B29" s="51" t="n"/>
      <c r="C29" s="51" t="n"/>
      <c r="D29" s="51" t="n"/>
      <c r="E29" s="51" t="n"/>
      <c r="F29" s="51" t="n"/>
      <c r="G29" s="51" t="n"/>
      <c r="H29" s="52" t="inlineStr">
        <is>
          <t>TOTAL</t>
        </is>
      </c>
      <c r="I29" s="53">
        <f>SUM(I28:I28)</f>
        <v/>
      </c>
      <c r="J29" s="54" t="n"/>
    </row>
  </sheetData>
  <mergeCells count="13">
    <mergeCell ref="A5:A6"/>
    <mergeCell ref="A1:J1"/>
    <mergeCell ref="H5:H6"/>
    <mergeCell ref="J5:J6"/>
    <mergeCell ref="F5:G5"/>
    <mergeCell ref="D5:E5"/>
    <mergeCell ref="J7:J27"/>
    <mergeCell ref="J28:J29"/>
    <mergeCell ref="A4:J4"/>
    <mergeCell ref="A2: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2026-03-26T04:12:06Z</dcterms:created>
  <dcterms:modified xsi:type="dcterms:W3CDTF">2026-03-26T04:12:07Z</dcterms:modified>
</cp:coreProperties>
</file>