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 - 460 V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 - 220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 - 380 V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 - 120 V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 - 127 V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 - 220 V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 - UPS-1000VA - 1000VA - 1000 V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 - UPS-1000VA - 1000VA - 1000 V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Transformador - TM-040-520 - 500 VA - Monofásico - 500 V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 - 220 V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 - 220 V</t>
        </is>
      </c>
      <c r="D19" s="6" t="n">
        <v>9786.059999999999</v>
      </c>
      <c r="E19" s="6">
        <f>D19/1.16</f>
        <v/>
      </c>
      <c r="F19" s="25">
        <f>SUM(E19:E24)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 - 220 V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- 120 V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- 220 V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- 220 V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 - 1000 V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SUM(E19:E24)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E18+E25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4"/>
    <mergeCell ref="J8:L8"/>
    <mergeCell ref="G19:G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 - 380 V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 - 120 V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 - 127 V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 - 220 V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 - 220 V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 - 220 V</t>
        </is>
      </c>
      <c r="D17" s="6" t="n">
        <v>9786.059999999999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 - 220 V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- 120 V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 - 220 V</t>
        </is>
      </c>
      <c r="D20" s="6" t="n">
        <v>56687.04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 - 220 V</t>
        </is>
      </c>
      <c r="D21" s="6" t="n">
        <v>56687.04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 - UPS-1000VA - 1000VA - 1000 V</t>
        </is>
      </c>
      <c r="D7" s="50" t="n">
        <v>8352</v>
      </c>
      <c r="E7" s="50">
        <f>D7/1.16</f>
        <v/>
      </c>
      <c r="F7" s="50" t="n">
        <v>5000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Regulador - RM-042N-220 - 4 KVA - Bifásico - 220 V</t>
        </is>
      </c>
      <c r="D8" s="50" t="n">
        <v>56687.04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Regulador - RM-042N-220 - 4 KVA - Bifásico - 220 V</t>
        </is>
      </c>
      <c r="D9" s="50" t="n">
        <v>56687.04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 - 1000 V</t>
        </is>
      </c>
      <c r="D10" s="50" t="n">
        <v>8352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3" t="inlineStr">
        <is>
          <t>TOTAL</t>
        </is>
      </c>
      <c r="I11" s="54">
        <f>SUM(I7:I10)</f>
        <v/>
      </c>
      <c r="J11" s="21" t="n"/>
    </row>
    <row r="12">
      <c r="A12" s="55" t="inlineStr">
        <is>
          <t>04/03/2026</t>
        </is>
      </c>
      <c r="B12" s="56" t="inlineStr">
        <is>
          <t>Roman - OFFICE DEPOT</t>
        </is>
      </c>
      <c r="C12" s="56" t="inlineStr">
        <is>
          <t>UPS - UPS-1000VA - 1000VA - 1000 V</t>
        </is>
      </c>
      <c r="D12" s="57" t="n">
        <v>8352</v>
      </c>
      <c r="E12" s="57">
        <f>D12/1.16</f>
        <v/>
      </c>
      <c r="F12" s="57" t="n">
        <v>5000</v>
      </c>
      <c r="G12" s="57">
        <f>F12/1.16</f>
        <v/>
      </c>
      <c r="H12" s="57">
        <f>E12-G12</f>
        <v/>
      </c>
      <c r="I12" s="57">
        <f>H12*0.1</f>
        <v/>
      </c>
      <c r="J12" s="58" t="inlineStr">
        <is>
          <t>Marlen</t>
        </is>
      </c>
    </row>
    <row r="13">
      <c r="A13" s="55" t="inlineStr">
        <is>
          <t>04/03/2026</t>
        </is>
      </c>
      <c r="B13" s="56" t="inlineStr">
        <is>
          <t>Elizabeth - ACURA</t>
        </is>
      </c>
      <c r="C13" s="56" t="inlineStr">
        <is>
          <t>Transformador - TM-040-520 - 500 VA - Monofásico - 500 V</t>
        </is>
      </c>
      <c r="D13" s="57" t="n">
        <v>11066.4</v>
      </c>
      <c r="E13" s="57">
        <f>D13/1.16</f>
        <v/>
      </c>
      <c r="F13" s="57" t="n">
        <v>5000</v>
      </c>
      <c r="G13" s="57">
        <f>F13/1.16</f>
        <v/>
      </c>
      <c r="H13" s="57">
        <f>E13-G13</f>
        <v/>
      </c>
      <c r="I13" s="57">
        <f>H13*0.1</f>
        <v/>
      </c>
      <c r="J13" s="10" t="n"/>
    </row>
    <row r="14">
      <c r="A14" s="59" t="n"/>
      <c r="B14" s="59" t="n"/>
      <c r="C14" s="59" t="n"/>
      <c r="D14" s="59" t="n"/>
      <c r="E14" s="59" t="n"/>
      <c r="F14" s="59" t="n"/>
      <c r="G14" s="59" t="n"/>
      <c r="H14" s="60" t="inlineStr">
        <is>
          <t>TOTAL</t>
        </is>
      </c>
      <c r="I14" s="61">
        <f>SUM(I12:I13)</f>
        <v/>
      </c>
      <c r="J14" s="21" t="n"/>
    </row>
  </sheetData>
  <mergeCells count="13">
    <mergeCell ref="A5:A6"/>
    <mergeCell ref="A1:J1"/>
    <mergeCell ref="H5:H6"/>
    <mergeCell ref="J12:J14"/>
    <mergeCell ref="J5:J6"/>
    <mergeCell ref="F5:G5"/>
    <mergeCell ref="D5:E5"/>
    <mergeCell ref="J7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2026-03-11T04:27:30Z</dcterms:created>
  <dcterms:modified xsi:type="dcterms:W3CDTF">2026-03-11T04:27:30Z</dcterms:modified>
</cp:coreProperties>
</file>