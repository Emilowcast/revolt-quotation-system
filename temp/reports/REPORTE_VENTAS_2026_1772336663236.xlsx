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isiones1" sheetId="3" state="visible" r:id="rId3"/>
    <sheet name="Comercializ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b val="1"/>
      <sz val="11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2" fillId="11" borderId="0" applyAlignment="1" pivotButton="0" quotePrefix="0" xfId="0">
      <alignment horizontal="right" vertical="center"/>
    </xf>
    <xf numFmtId="164" fontId="2" fillId="11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 t="n">
        <v>24847.2</v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 t="n">
        <v>24847.2</v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 t="n">
        <v>314341.44</v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 t="n">
        <v>3111871.240800001</v>
      </c>
      <c r="L10" s="16" t="n">
        <v>1</v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 t="n">
        <v>3111871.240800001</v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 t="n">
        <v>314341.44</v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 t="n">
        <v>189520.8</v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 t="n">
        <v>189520.8</v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 t="n">
        <v>151714.08</v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 t="n">
        <v>151714.08</v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 t="n">
        <v>2431447.720800001</v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 t="n">
        <v>2431447.720800001</v>
      </c>
      <c r="F47" s="10" t="n"/>
      <c r="G47" s="10" t="n"/>
      <c r="H47" s="10" t="n"/>
    </row>
    <row r="48">
      <c r="D48" s="20" t="inlineStr">
        <is>
          <t>VENTAS ENERO</t>
        </is>
      </c>
      <c r="E48" s="21" t="n">
        <v>3111871.240800001</v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 t="n">
        <v>7454.16</v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 t="n">
        <v>7454.16</v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 t="n">
        <v>106160.88</v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 t="n">
        <v>590596.2048000001</v>
      </c>
      <c r="L53" s="16" t="n">
        <v>0.8603182507393254</v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 t="n">
        <v>95889.52799999999</v>
      </c>
      <c r="L54" s="16" t="n">
        <v>0.1396817492606745</v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 t="n">
        <v>686485.7328000001</v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 t="n">
        <v>106160.88</v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 t="n">
        <v>122443.104</v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 t="n">
        <v>122443.104</v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 t="n">
        <v>450427.5888</v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 t="n">
        <v>450427.5888</v>
      </c>
      <c r="F77" s="10" t="n"/>
      <c r="G77" s="10" t="n"/>
      <c r="H77" s="10" t="n"/>
    </row>
    <row r="78">
      <c r="D78" s="20" t="inlineStr">
        <is>
          <t>VENTAS FEBRERO</t>
        </is>
      </c>
      <c r="E78" s="21" t="n">
        <v>686485.7328000001</v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60" customWidth="1" min="3" max="3"/>
    <col width="16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>
      <c r="A2" s="22" t="inlineStr">
        <is>
          <t>Comisiones Anual 2026</t>
        </is>
      </c>
    </row>
    <row r="3"/>
    <row r="4"/>
    <row r="5">
      <c r="A5" s="23" t="inlineStr">
        <is>
          <t>Fecha</t>
        </is>
      </c>
      <c r="B5" s="23" t="inlineStr">
        <is>
          <t>Cliente</t>
        </is>
      </c>
      <c r="C5" s="23" t="inlineStr">
        <is>
          <t>Concepto</t>
        </is>
      </c>
      <c r="D5" s="23" t="inlineStr">
        <is>
          <t>DEPÓSITO</t>
        </is>
      </c>
      <c r="E5" s="3" t="n"/>
      <c r="F5" s="23" t="inlineStr">
        <is>
          <t>Total</t>
        </is>
      </c>
      <c r="G5" s="23" t="inlineStr">
        <is>
          <t>Semana</t>
        </is>
      </c>
      <c r="H5" s="23" t="inlineStr">
        <is>
          <t>Vendedor</t>
        </is>
      </c>
    </row>
    <row r="6">
      <c r="A6" s="3" t="n"/>
      <c r="B6" s="3" t="n"/>
      <c r="C6" s="3" t="n"/>
      <c r="D6" s="23" t="inlineStr">
        <is>
          <t>Con IVA</t>
        </is>
      </c>
      <c r="E6" s="23" t="inlineStr">
        <is>
          <t>Sin IVA</t>
        </is>
      </c>
      <c r="F6" s="3" t="n"/>
      <c r="G6" s="3" t="n"/>
      <c r="H6" s="3" t="n"/>
    </row>
    <row r="7"/>
    <row r="8" ht="30" customHeight="1">
      <c r="A8" s="24" t="inlineStr">
        <is>
          <t>ENERO</t>
        </is>
      </c>
    </row>
    <row r="9" ht="15" customHeight="1">
      <c r="A9" t="inlineStr">
        <is>
          <t>01/01/2026</t>
        </is>
      </c>
      <c r="B9" s="5" t="inlineStr">
        <is>
          <t>Sofía Morales - Toyota</t>
        </is>
      </c>
      <c r="C9" s="5" t="inlineStr">
        <is>
          <t>RM-041-120 - 4 KVA - Monofásico - 120 V</t>
        </is>
      </c>
      <c r="D9" s="6" t="n">
        <v>29580</v>
      </c>
      <c r="E9" s="6">
        <f>D9/1.16</f>
        <v/>
      </c>
      <c r="F9" s="25" t="n">
        <v>24847.2</v>
      </c>
      <c r="G9" s="8" t="inlineStr">
        <is>
          <t>Semana 1 (02-ene)</t>
        </is>
      </c>
      <c r="H9" t="inlineStr">
        <is>
          <t>Hugo</t>
        </is>
      </c>
      <c r="J9" s="9" t="inlineStr">
        <is>
          <t>ENERO</t>
        </is>
      </c>
    </row>
    <row r="10">
      <c r="A10" s="26" t="n"/>
      <c r="B10" s="26" t="n"/>
      <c r="C10" s="26" t="n"/>
      <c r="D10" s="27" t="inlineStr">
        <is>
          <t>TOTAL SIN IVA</t>
        </is>
      </c>
      <c r="E10" s="28" t="n">
        <v>24847.2</v>
      </c>
      <c r="F10" s="26" t="n"/>
      <c r="G10" s="26" t="n"/>
      <c r="H10" s="26" t="n"/>
      <c r="J10" s="13" t="inlineStr">
        <is>
          <t>VENDEDOR</t>
        </is>
      </c>
      <c r="K10" s="13" t="inlineStr">
        <is>
          <t>VENTAS</t>
        </is>
      </c>
      <c r="L10" s="13" t="inlineStr">
        <is>
          <t>%</t>
        </is>
      </c>
    </row>
    <row r="11" ht="15" customHeight="1">
      <c r="A11" t="inlineStr">
        <is>
          <t>03/01/2026</t>
        </is>
      </c>
      <c r="B11" s="5" t="inlineStr">
        <is>
          <t>Miguel Ángel Ruiz - KIA Motors</t>
        </is>
      </c>
      <c r="C11" s="5" t="inlineStr">
        <is>
          <t>RM-101-120 - 10 KVA - Monofásico - 120 V</t>
        </is>
      </c>
      <c r="D11" s="6" t="n">
        <v>52200</v>
      </c>
      <c r="E11" s="6">
        <f>D11/1.16</f>
        <v/>
      </c>
      <c r="F11" s="25" t="n">
        <v>314341.44</v>
      </c>
      <c r="G11" s="8" t="inlineStr">
        <is>
          <t>Semana 2 (09-ene)</t>
        </is>
      </c>
      <c r="H11" t="inlineStr">
        <is>
          <t>Hugo</t>
        </is>
      </c>
      <c r="J11" s="14" t="inlineStr">
        <is>
          <t>Hugo</t>
        </is>
      </c>
      <c r="K11" s="15" t="n">
        <v>3111871.240800001</v>
      </c>
      <c r="L11" s="16" t="n">
        <v>1</v>
      </c>
    </row>
    <row r="12" ht="15" customHeight="1">
      <c r="A12" t="inlineStr">
        <is>
          <t>03/01/2026</t>
        </is>
      </c>
      <c r="B12" s="5" t="inlineStr">
        <is>
          <t>María López - General Motors</t>
        </is>
      </c>
      <c r="C12" s="5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J12" s="17" t="inlineStr">
        <is>
          <t>Total</t>
        </is>
      </c>
      <c r="K12" s="18" t="n">
        <v>3111871.240800001</v>
      </c>
      <c r="L12" s="19" t="n">
        <v>1</v>
      </c>
    </row>
    <row r="13" ht="15" customHeight="1">
      <c r="A13" t="inlineStr">
        <is>
          <t>03/01/2026</t>
        </is>
      </c>
      <c r="B13" s="5" t="inlineStr">
        <is>
          <t>Miguel Ángel Ruiz - KIA Motors</t>
        </is>
      </c>
      <c r="C13" s="5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03/01/2026</t>
        </is>
      </c>
      <c r="B14" s="5" t="inlineStr">
        <is>
          <t>Carlos Ramírez - Volkswagen México</t>
        </is>
      </c>
      <c r="C14" s="5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07/01/2026</t>
        </is>
      </c>
      <c r="B15" s="5" t="inlineStr">
        <is>
          <t>María López - General Motors</t>
        </is>
      </c>
      <c r="C15" s="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</row>
    <row r="16">
      <c r="A16" s="26" t="n"/>
      <c r="B16" s="26" t="n"/>
      <c r="C16" s="26" t="n"/>
      <c r="D16" s="27" t="inlineStr">
        <is>
          <t>TOTAL SIN IVA</t>
        </is>
      </c>
      <c r="E16" s="28" t="n">
        <v>314341.44</v>
      </c>
      <c r="F16" s="26" t="n"/>
      <c r="G16" s="26" t="n"/>
      <c r="H16" s="26" t="n"/>
    </row>
    <row r="17" ht="15" customHeight="1">
      <c r="A17" t="inlineStr">
        <is>
          <t>10/01/2026</t>
        </is>
      </c>
      <c r="B17" s="5" t="inlineStr">
        <is>
          <t>Miguel Ángel Ruiz - KIA Motors</t>
        </is>
      </c>
      <c r="C17" s="5" t="inlineStr">
        <is>
          <t>RM-153-220 - 15 KVA - Trifásico - 220 V</t>
        </is>
      </c>
      <c r="D17" s="6" t="n">
        <v>32480</v>
      </c>
      <c r="E17" s="6">
        <f>D17/1.16</f>
        <v/>
      </c>
      <c r="F17" s="25" t="n">
        <v>189520.8</v>
      </c>
      <c r="G17" s="8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12/01/2026</t>
        </is>
      </c>
      <c r="B18" s="5" t="inlineStr">
        <is>
          <t>Carlos Ramírez - Volkswagen México</t>
        </is>
      </c>
      <c r="C18" s="5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13/01/2026</t>
        </is>
      </c>
      <c r="B19" s="5" t="inlineStr">
        <is>
          <t>María López - General Motors</t>
        </is>
      </c>
      <c r="C19" s="5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15/01/2026</t>
        </is>
      </c>
      <c r="B20" s="5" t="inlineStr">
        <is>
          <t>María López - General Motors</t>
        </is>
      </c>
      <c r="C20" s="5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</row>
    <row r="21">
      <c r="A21" s="26" t="n"/>
      <c r="B21" s="26" t="n"/>
      <c r="C21" s="26" t="n"/>
      <c r="D21" s="27" t="inlineStr">
        <is>
          <t>TOTAL SIN IVA</t>
        </is>
      </c>
      <c r="E21" s="28" t="n">
        <v>189520.8</v>
      </c>
      <c r="F21" s="26" t="n"/>
      <c r="G21" s="26" t="n"/>
      <c r="H21" s="26" t="n"/>
    </row>
    <row r="22" ht="15" customHeight="1">
      <c r="A22" t="inlineStr">
        <is>
          <t>18/01/2026</t>
        </is>
      </c>
      <c r="B22" s="5" t="inlineStr">
        <is>
          <t>Sofía Morales - Toyota</t>
        </is>
      </c>
      <c r="C22" s="5" t="inlineStr">
        <is>
          <t>RM-101-120 - 10 KVA - Monofásico - 120 V</t>
        </is>
      </c>
      <c r="D22" s="6" t="n">
        <v>52200</v>
      </c>
      <c r="E22" s="6">
        <f>D22/1.16</f>
        <v/>
      </c>
      <c r="F22" s="25" t="n">
        <v>151714.08</v>
      </c>
      <c r="G22" s="8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18/01/2026</t>
        </is>
      </c>
      <c r="B24" s="5" t="inlineStr">
        <is>
          <t>Miguel Ángel Ruiz - KIA Motors</t>
        </is>
      </c>
      <c r="C24" s="5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19/01/2026</t>
        </is>
      </c>
      <c r="B25" s="5" t="inlineStr">
        <is>
          <t>Gabriela Fernández - Ford Motor Company</t>
        </is>
      </c>
      <c r="C25" s="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20/01/2026</t>
        </is>
      </c>
      <c r="B26" s="5" t="inlineStr">
        <is>
          <t>Carlos Ramírez - Volkswagen México</t>
        </is>
      </c>
      <c r="C26" s="5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</row>
    <row r="27">
      <c r="A27" s="26" t="n"/>
      <c r="B27" s="26" t="n"/>
      <c r="C27" s="26" t="n"/>
      <c r="D27" s="27" t="inlineStr">
        <is>
          <t>TOTAL SIN IVA</t>
        </is>
      </c>
      <c r="E27" s="28" t="n">
        <v>151714.08</v>
      </c>
      <c r="F27" s="26" t="n"/>
      <c r="G27" s="26" t="n"/>
      <c r="H27" s="26" t="n"/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25" t="n">
        <v>2431447.720800001</v>
      </c>
      <c r="G28" s="8" t="inlineStr">
        <is>
          <t>Semana 5 (30-ene)</t>
        </is>
      </c>
      <c r="H28" t="inlineStr">
        <is>
          <t>Hugo</t>
        </is>
      </c>
    </row>
    <row r="29" ht="15" customHeight="1">
      <c r="A29" t="inlineStr">
        <is>
          <t>28/01/2026</t>
        </is>
      </c>
      <c r="B29" s="5" t="inlineStr">
        <is>
          <t>Hugo Hernandez - Nissan</t>
        </is>
      </c>
      <c r="C29" s="5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</row>
    <row r="30" ht="30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Elizabeth - ACURA</t>
        </is>
      </c>
      <c r="C32" s="5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Hugo Hernandez - Nissan</t>
        </is>
      </c>
      <c r="C33" s="5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Elizabeth - ACURA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Hugo Hernandez - Nissan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Elizabeth - ACURA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28/01/2026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29/01/2026</t>
        </is>
      </c>
      <c r="B45" s="5" t="inlineStr">
        <is>
          <t>Cliente</t>
        </is>
      </c>
      <c r="C45" s="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Hugo Hernandez - Nissan</t>
        </is>
      </c>
      <c r="C46" s="5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30/01/2026</t>
        </is>
      </c>
      <c r="B47" s="5" t="inlineStr">
        <is>
          <t>Elizabeth - ACURA</t>
        </is>
      </c>
      <c r="C47" s="5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</row>
    <row r="48">
      <c r="A48" s="26" t="n"/>
      <c r="B48" s="26" t="n"/>
      <c r="C48" s="26" t="n"/>
      <c r="D48" s="27" t="inlineStr">
        <is>
          <t>TOTAL SIN IVA</t>
        </is>
      </c>
      <c r="E48" s="28" t="n">
        <v>2431447.720800001</v>
      </c>
      <c r="F48" s="26" t="n"/>
      <c r="G48" s="26" t="n"/>
      <c r="H48" s="26" t="n"/>
    </row>
    <row r="49">
      <c r="D49" s="29" t="inlineStr">
        <is>
          <t>VENTAS ENERO</t>
        </is>
      </c>
      <c r="E49" s="30" t="n">
        <v>3111871.240800001</v>
      </c>
    </row>
    <row r="50"/>
    <row r="51" ht="30" customHeight="1">
      <c r="A51" s="24" t="inlineStr">
        <is>
          <t>FEBRERO</t>
        </is>
      </c>
    </row>
    <row r="52" ht="15" customHeight="1">
      <c r="A52" t="inlineStr">
        <is>
          <t>01/02/2026</t>
        </is>
      </c>
      <c r="B52" s="5" t="inlineStr">
        <is>
          <t>Carlos Ramírez - Volkswagen México</t>
        </is>
      </c>
      <c r="C52" s="5" t="inlineStr">
        <is>
          <t>RM-041-120 - 4 KVA - Monofásico - 120 V</t>
        </is>
      </c>
      <c r="D52" s="6" t="n">
        <v>8874</v>
      </c>
      <c r="E52" s="6">
        <f>D52/1.16</f>
        <v/>
      </c>
      <c r="F52" s="25" t="n">
        <v>7454.16</v>
      </c>
      <c r="G52" s="8" t="inlineStr">
        <is>
          <t>Semana 1 (06-feb)</t>
        </is>
      </c>
      <c r="H52" t="inlineStr">
        <is>
          <t>Hugo</t>
        </is>
      </c>
      <c r="J52" s="9" t="inlineStr">
        <is>
          <t>FEBRERO</t>
        </is>
      </c>
    </row>
    <row r="53">
      <c r="A53" s="26" t="n"/>
      <c r="B53" s="26" t="n"/>
      <c r="C53" s="26" t="n"/>
      <c r="D53" s="27" t="inlineStr">
        <is>
          <t>TOTAL SIN IVA</t>
        </is>
      </c>
      <c r="E53" s="28" t="n">
        <v>7454.16</v>
      </c>
      <c r="F53" s="26" t="n"/>
      <c r="G53" s="26" t="n"/>
      <c r="H53" s="26" t="n"/>
      <c r="J53" s="13" t="inlineStr">
        <is>
          <t>VENDEDOR</t>
        </is>
      </c>
      <c r="K53" s="13" t="inlineStr">
        <is>
          <t>VENTAS</t>
        </is>
      </c>
      <c r="L53" s="13" t="inlineStr">
        <is>
          <t>%</t>
        </is>
      </c>
    </row>
    <row r="54" ht="15" customHeight="1">
      <c r="A54" t="inlineStr">
        <is>
          <t>11/02/2026</t>
        </is>
      </c>
      <c r="B54" s="5" t="inlineStr">
        <is>
          <t>José García - BMW Group</t>
        </is>
      </c>
      <c r="C54" s="5" t="inlineStr">
        <is>
          <t>RM-153-220 - 15 KVA - Trifásico - 220 V</t>
        </is>
      </c>
      <c r="D54" s="6" t="n">
        <v>64960</v>
      </c>
      <c r="E54" s="6">
        <f>D54/1.16</f>
        <v/>
      </c>
      <c r="F54" s="25" t="n">
        <v>106160.88</v>
      </c>
      <c r="G54" s="8" t="inlineStr">
        <is>
          <t>Semana 2 (13-feb)</t>
        </is>
      </c>
      <c r="H54" t="inlineStr">
        <is>
          <t>Hugo</t>
        </is>
      </c>
      <c r="J54" s="14" t="inlineStr">
        <is>
          <t>Hugo</t>
        </is>
      </c>
      <c r="K54" s="15" t="n">
        <v>590596.2048000001</v>
      </c>
      <c r="L54" s="16" t="n">
        <v>0.8603182507393254</v>
      </c>
    </row>
    <row r="55" ht="15" customHeight="1">
      <c r="A55" t="inlineStr">
        <is>
          <t>12/02/2026</t>
        </is>
      </c>
      <c r="B55" s="5" t="inlineStr">
        <is>
          <t>Hugo Hernández - Nissan Mexicana</t>
        </is>
      </c>
      <c r="C55" s="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J55" s="14" t="inlineStr">
        <is>
          <t>Marlen</t>
        </is>
      </c>
      <c r="K55" s="15" t="n">
        <v>95889.52799999999</v>
      </c>
      <c r="L55" s="16" t="n">
        <v>0.1396817492606745</v>
      </c>
    </row>
    <row r="56" ht="15" customHeight="1">
      <c r="A56" t="inlineStr">
        <is>
          <t>13/02/2026</t>
        </is>
      </c>
      <c r="B56" s="5" t="inlineStr">
        <is>
          <t>Gabriela Fernández - Ford Motor Company</t>
        </is>
      </c>
      <c r="C56" s="5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J56" s="17" t="inlineStr">
        <is>
          <t>Total</t>
        </is>
      </c>
      <c r="K56" s="18" t="n">
        <v>686485.7328000001</v>
      </c>
      <c r="L56" s="19" t="n">
        <v>1</v>
      </c>
    </row>
    <row r="57">
      <c r="A57" s="26" t="n"/>
      <c r="B57" s="26" t="n"/>
      <c r="C57" s="26" t="n"/>
      <c r="D57" s="27" t="inlineStr">
        <is>
          <t>TOTAL SIN IVA</t>
        </is>
      </c>
      <c r="E57" s="28" t="n">
        <v>106160.88</v>
      </c>
      <c r="F57" s="26" t="n"/>
      <c r="G57" s="26" t="n"/>
      <c r="H57" s="26" t="n"/>
    </row>
    <row r="58" ht="15" customHeight="1">
      <c r="A58" t="inlineStr">
        <is>
          <t>14/02/2026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19209.6</v>
      </c>
      <c r="E58" s="6">
        <f>D58/1.16</f>
        <v/>
      </c>
      <c r="F58" s="25" t="n">
        <v>122443.104</v>
      </c>
      <c r="G58" s="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16/02/2026</t>
        </is>
      </c>
      <c r="B59" s="5" t="inlineStr">
        <is>
          <t>José García - BMW Group</t>
        </is>
      </c>
      <c r="C59" s="5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18/02/2026</t>
        </is>
      </c>
      <c r="B60" s="5" t="inlineStr">
        <is>
          <t>Miguel Ángel Ruiz - KIA Motors</t>
        </is>
      </c>
      <c r="C60" s="5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20/02/2026</t>
        </is>
      </c>
      <c r="B61" s="5" t="inlineStr">
        <is>
          <t>Carlos Ramírez - Volkswagen México</t>
        </is>
      </c>
      <c r="C61" s="5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</row>
    <row r="62">
      <c r="A62" s="26" t="n"/>
      <c r="B62" s="26" t="n"/>
      <c r="C62" s="26" t="n"/>
      <c r="D62" s="27" t="inlineStr">
        <is>
          <t>TOTAL SIN IVA</t>
        </is>
      </c>
      <c r="E62" s="28" t="n">
        <v>122443.104</v>
      </c>
      <c r="F62" s="26" t="n"/>
      <c r="G62" s="26" t="n"/>
      <c r="H62" s="26" t="n"/>
    </row>
    <row r="63" ht="15" customHeight="1">
      <c r="A63" t="inlineStr">
        <is>
          <t>23/02/2026</t>
        </is>
      </c>
      <c r="B63" s="5" t="inlineStr">
        <is>
          <t>Miguel Ángel Ruiz - KIA Motors</t>
        </is>
      </c>
      <c r="C63" s="5" t="inlineStr">
        <is>
          <t>RM-403-220 - 40 KVA - Trifásico - 220 V</t>
        </is>
      </c>
      <c r="D63" s="6" t="n">
        <v>71920</v>
      </c>
      <c r="E63" s="6">
        <f>D63/1.16</f>
        <v/>
      </c>
      <c r="F63" s="25" t="n">
        <v>450427.5888</v>
      </c>
      <c r="G63" s="8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José García - BMW Group</t>
        </is>
      </c>
      <c r="C64" s="5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26/02/2026</t>
        </is>
      </c>
      <c r="B67" s="5" t="inlineStr">
        <is>
          <t>Elizabeth - ACURA</t>
        </is>
      </c>
      <c r="C67" s="5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Carlos Ramírez - Volkswagen México</t>
        </is>
      </c>
      <c r="C68" s="5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Miguel Ángel Ruiz - KIA Motors</t>
        </is>
      </c>
      <c r="C69" s="5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Cliente</t>
        </is>
      </c>
      <c r="C71" s="5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Hugo Hernandez - Nissan</t>
        </is>
      </c>
      <c r="C73" s="5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Elizabeth - ACURA</t>
        </is>
      </c>
      <c r="C74" s="5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</row>
    <row r="75" ht="15" customHeight="1">
      <c r="A75" t="inlineStr">
        <is>
          <t>27/02/2026</t>
        </is>
      </c>
      <c r="B75" s="5" t="inlineStr">
        <is>
          <t>Hugo Hernandez - Nissan</t>
        </is>
      </c>
      <c r="C75" s="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Elizabeth - ACURA</t>
        </is>
      </c>
      <c r="C76" s="5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</row>
    <row r="77" ht="15" customHeight="1">
      <c r="A77" t="inlineStr">
        <is>
          <t>27/02/2026</t>
        </is>
      </c>
      <c r="B77" s="5" t="inlineStr">
        <is>
          <t>Hugo Hernandez - Nissan</t>
        </is>
      </c>
      <c r="C77" s="5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</row>
    <row r="78">
      <c r="A78" s="26" t="n"/>
      <c r="B78" s="26" t="n"/>
      <c r="C78" s="26" t="n"/>
      <c r="D78" s="27" t="inlineStr">
        <is>
          <t>TOTAL SIN IVA</t>
        </is>
      </c>
      <c r="E78" s="28" t="n">
        <v>450427.5888</v>
      </c>
      <c r="F78" s="26" t="n"/>
      <c r="G78" s="26" t="n"/>
      <c r="H78" s="26" t="n"/>
    </row>
    <row r="79">
      <c r="D79" s="29" t="inlineStr">
        <is>
          <t>VENTAS FEBRERO</t>
        </is>
      </c>
      <c r="E79" s="30" t="n">
        <v>686485.7328000001</v>
      </c>
    </row>
  </sheetData>
  <mergeCells count="30">
    <mergeCell ref="G28:G47"/>
    <mergeCell ref="G54:G56"/>
    <mergeCell ref="F9"/>
    <mergeCell ref="G17:G20"/>
    <mergeCell ref="A51:H51"/>
    <mergeCell ref="F52"/>
    <mergeCell ref="F63:F77"/>
    <mergeCell ref="F22:F26"/>
    <mergeCell ref="F5:F6"/>
    <mergeCell ref="G9"/>
    <mergeCell ref="F17:F20"/>
    <mergeCell ref="G52"/>
    <mergeCell ref="F28:F47"/>
    <mergeCell ref="G22:G26"/>
    <mergeCell ref="A5:A6"/>
    <mergeCell ref="G5:G6"/>
    <mergeCell ref="A2:H2"/>
    <mergeCell ref="F11:F15"/>
    <mergeCell ref="F54:F56"/>
    <mergeCell ref="J52:L52"/>
    <mergeCell ref="G11:G15"/>
    <mergeCell ref="G58:G61"/>
    <mergeCell ref="A8:H8"/>
    <mergeCell ref="B5:B6"/>
    <mergeCell ref="G63:G77"/>
    <mergeCell ref="F58:F61"/>
    <mergeCell ref="H5:H6"/>
    <mergeCell ref="D5:E5"/>
    <mergeCell ref="J9:L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8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</cols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31" t="inlineStr">
        <is>
          <t>Comisions Mensual Equipo de Comercializa 2026</t>
        </is>
      </c>
    </row>
    <row r="2">
      <c r="A2" s="32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2026-03-01T03:44:24Z</dcterms:created>
  <dcterms:modified xsi:type="dcterms:W3CDTF">2026-03-01T03:44:24Z</dcterms:modified>
</cp:coreProperties>
</file>