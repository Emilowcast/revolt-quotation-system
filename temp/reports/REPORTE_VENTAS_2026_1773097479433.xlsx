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 - 460 V</t>
        </is>
      </c>
      <c r="D8" s="6" t="n">
        <v>47291.04</v>
      </c>
      <c r="E8" s="6">
        <f>D8/1.16</f>
        <v/>
      </c>
      <c r="F8" s="7">
        <f>SUM(E8:E19)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 - 220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Brandon Castro - REDTEAM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SUMIF(H8:H20,J10,E8:E20)</f>
        <v/>
      </c>
      <c r="L10" s="14">
        <f>K10/E$21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 - 380 V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SUMIF(H8:H20,J11,E8:E20)</f>
        <v/>
      </c>
      <c r="L11" s="14">
        <f>K11/E$21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 - 120 V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E21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Brandon Castro - REDTEAM</t>
        </is>
      </c>
      <c r="C13" s="5" t="inlineStr">
        <is>
          <t>Anticipo - Regulador - RM-053-480 - 5 KVA - Trifásico - 480 V</t>
        </is>
      </c>
      <c r="D13" s="6" t="n">
        <v>908080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Regulador - RM-051-127 - 5 KVA - Monofásico - 127 V</t>
        </is>
      </c>
      <c r="D14" s="6" t="n">
        <v>19403.28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Elizabeth - ACURA</t>
        </is>
      </c>
      <c r="C15" s="5" t="inlineStr">
        <is>
          <t>Regulador - RM-053-220 - 5 KVA - Trifásico - 220 V</t>
        </is>
      </c>
      <c r="D15" s="6" t="n">
        <v>95626.25999999999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UPS - UPS-1000VA - 1000VA - 1000 V</t>
        </is>
      </c>
      <c r="D16" s="6" t="n">
        <v>8352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Roman - OFFICE DEPOT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Marlen</t>
        </is>
      </c>
    </row>
    <row r="18" ht="15" customHeight="1">
      <c r="A18" t="inlineStr">
        <is>
          <t>04/03/2026</t>
        </is>
      </c>
      <c r="B18" s="5" t="inlineStr">
        <is>
          <t>Elizabeth - ACURA</t>
        </is>
      </c>
      <c r="C18" s="5" t="inlineStr">
        <is>
          <t>Transformador - TM-040-520 - 500 VA - Monofásico - 500 V</t>
        </is>
      </c>
      <c r="D18" s="6" t="n">
        <v>11066.4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Regulador - RM-042N-220 - 4 KVA - Bifásico - 220 V</t>
        </is>
      </c>
      <c r="D19" s="20" t="n">
        <v>47291.04</v>
      </c>
      <c r="E19" s="20">
        <f>D19/1.16</f>
        <v/>
      </c>
      <c r="F19" s="21" t="n"/>
      <c r="G19" s="21" t="n"/>
      <c r="H19" s="18" t="inlineStr">
        <is>
          <t>Marlen</t>
        </is>
      </c>
    </row>
    <row r="20">
      <c r="A20" s="22" t="n"/>
      <c r="B20" s="22" t="n"/>
      <c r="C20" s="22" t="n"/>
      <c r="D20" s="23" t="inlineStr">
        <is>
          <t>TOTAL SIN IVA</t>
        </is>
      </c>
      <c r="E20" s="24">
        <f>SUM(E8:E19)</f>
        <v/>
      </c>
      <c r="F20" s="22" t="n"/>
      <c r="G20" s="22" t="n"/>
      <c r="H20" s="22" t="n"/>
    </row>
    <row r="21">
      <c r="D21" s="25" t="inlineStr">
        <is>
          <t>VENTAS MARZO</t>
        </is>
      </c>
      <c r="E21" s="26">
        <f>E20</f>
        <v/>
      </c>
    </row>
  </sheetData>
  <mergeCells count="12">
    <mergeCell ref="A5:A6"/>
    <mergeCell ref="G5:G6"/>
    <mergeCell ref="H5:H6"/>
    <mergeCell ref="F8:F19"/>
    <mergeCell ref="A7:H7"/>
    <mergeCell ref="A2:H2"/>
    <mergeCell ref="D5:E5"/>
    <mergeCell ref="J8:L8"/>
    <mergeCell ref="G8:G1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F9" s="31">
        <f>SUM(E9:E17)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E19</f>
        <v/>
      </c>
      <c r="K10" s="3" t="n"/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 - 220 V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37" t="n"/>
      <c r="B18" s="37" t="n"/>
      <c r="C18" s="37" t="n"/>
      <c r="D18" s="38" t="inlineStr">
        <is>
          <t>TOTAL SIN IVA</t>
        </is>
      </c>
      <c r="E18" s="39">
        <f>SUM(E9:E17)</f>
        <v/>
      </c>
      <c r="F18" s="37" t="n"/>
      <c r="G18" s="37" t="n"/>
      <c r="H18" s="37" t="n"/>
    </row>
    <row r="19">
      <c r="D19" s="25" t="inlineStr">
        <is>
          <t>VENTAS MARZO</t>
        </is>
      </c>
      <c r="E19" s="26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2026-03-09T23:04:40Z</dcterms:created>
  <dcterms:modified xsi:type="dcterms:W3CDTF">2026-03-09T23:04:40Z</dcterms:modified>
</cp:coreProperties>
</file>