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164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RM-053-460 - 5 KVA - Trifásico</t>
        </is>
      </c>
      <c r="D8" s="6" t="n">
        <v>47291.04</v>
      </c>
      <c r="E8" s="6">
        <f>D8/1.16</f>
        <v/>
      </c>
      <c r="F8" s="7">
        <f>SUM(E8:E17)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Roman - OFFICE DEPOT</t>
        </is>
      </c>
      <c r="C9" s="5" t="inlineStr">
        <is>
          <t>Regulador - RM-042N-220 - 4 KVA - Bifásico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Reparación - Regulador - RM-053-380 - 5 KVA - Trifásico</t>
        </is>
      </c>
      <c r="D10" s="6" t="n">
        <v>50000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SUMIF(H8:H25,J10,E8:E25)</f>
        <v/>
      </c>
      <c r="L10" s="14">
        <f>K10/E$26</f>
        <v/>
      </c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Mantenimiento - Regulador - RM-051-120 - 5 KVA - Monofásico</t>
        </is>
      </c>
      <c r="D11" s="6" t="n">
        <v>150000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SUMIF(H8:H25,J11,E8:E25)</f>
        <v/>
      </c>
      <c r="L11" s="14">
        <f>K11/E$26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Regulador - RM-051-127 - 5 KVA - Monofásico</t>
        </is>
      </c>
      <c r="D12" s="6" t="n">
        <v>19403.28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E26</f>
        <v/>
      </c>
      <c r="L12" s="17" t="n">
        <v>1</v>
      </c>
    </row>
    <row r="13" ht="15" customHeight="1">
      <c r="A13" t="inlineStr">
        <is>
          <t>04/03/2026</t>
        </is>
      </c>
      <c r="B13" s="5" t="inlineStr">
        <is>
          <t>Elizabeth - ACURA</t>
        </is>
      </c>
      <c r="C13" s="5" t="inlineStr">
        <is>
          <t>Regulador - RM-053-220 - 5 KVA - Trifásico</t>
        </is>
      </c>
      <c r="D13" s="6" t="n">
        <v>95626.25999999999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UPS-1000VA - 1000VA</t>
        </is>
      </c>
      <c r="D14" s="6" t="n">
        <v>8352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04/03/2026</t>
        </is>
      </c>
      <c r="B15" s="5" t="inlineStr">
        <is>
          <t>Roman - OFFICE DEPOT</t>
        </is>
      </c>
      <c r="C15" s="5" t="inlineStr">
        <is>
          <t>UPS-1000VA - 1000VA</t>
        </is>
      </c>
      <c r="D15" s="6" t="n">
        <v>8352</v>
      </c>
      <c r="E15" s="6">
        <f>D15/1.16</f>
        <v/>
      </c>
      <c r="F15" s="10" t="n"/>
      <c r="G15" s="10" t="n"/>
      <c r="H15" t="inlineStr">
        <is>
          <t>Marlen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TM-040-520 - 500 VA - Monofásico</t>
        </is>
      </c>
      <c r="D16" s="6" t="n">
        <v>11066.4</v>
      </c>
      <c r="E16" s="6">
        <f>D16/1.16</f>
        <v/>
      </c>
      <c r="F16" s="10" t="n"/>
      <c r="G16" s="10" t="n"/>
      <c r="H16" t="inlineStr">
        <is>
          <t>Marlen</t>
        </is>
      </c>
    </row>
    <row r="17" ht="15" customHeight="1">
      <c r="A17" s="18" t="inlineStr">
        <is>
          <t>04/03/2026</t>
        </is>
      </c>
      <c r="B17" s="19" t="inlineStr">
        <is>
          <t>Brandon Castro - REDTEAM</t>
        </is>
      </c>
      <c r="C17" s="19" t="inlineStr">
        <is>
          <t>Regulador - RM-042N-220 - 4 KVA - Bifásico</t>
        </is>
      </c>
      <c r="D17" s="20" t="n">
        <v>47291.04</v>
      </c>
      <c r="E17" s="20">
        <f>D17/1.16</f>
        <v/>
      </c>
      <c r="F17" s="21" t="n"/>
      <c r="G17" s="21" t="n"/>
      <c r="H17" s="18" t="inlineStr">
        <is>
          <t>Marlen</t>
        </is>
      </c>
    </row>
    <row r="18">
      <c r="A18" s="22" t="n"/>
      <c r="B18" s="22" t="n"/>
      <c r="C18" s="22" t="n"/>
      <c r="D18" s="23" t="inlineStr">
        <is>
          <t>TOTAL SIN IVA</t>
        </is>
      </c>
      <c r="E18" s="24">
        <f>SUM(E8:E17)</f>
        <v/>
      </c>
      <c r="F18" s="22" t="n"/>
      <c r="G18" s="22" t="n"/>
      <c r="H18" s="22" t="n"/>
    </row>
    <row r="19" ht="15" customHeight="1">
      <c r="A19" t="inlineStr">
        <is>
          <t>09/03/2026</t>
        </is>
      </c>
      <c r="B19" s="5" t="inlineStr">
        <is>
          <t>Emiliano Castro - ACME</t>
        </is>
      </c>
      <c r="C19" s="5" t="inlineStr">
        <is>
          <t>Anticipo - Regulador - RM-042-220 - 4 KVA - Bifásico</t>
        </is>
      </c>
      <c r="D19" s="6" t="n">
        <v>9786.059999999999</v>
      </c>
      <c r="E19" s="6">
        <f>D19/1.16</f>
        <v/>
      </c>
      <c r="F19" s="25">
        <f>SUM(E19:E24)</f>
        <v/>
      </c>
      <c r="G19" s="26" t="inlineStr">
        <is>
          <t>Semana 2 (13-mar)</t>
        </is>
      </c>
      <c r="H19" t="inlineStr">
        <is>
          <t>Hugo</t>
        </is>
      </c>
    </row>
    <row r="20" ht="15" customHeight="1">
      <c r="A20" t="inlineStr">
        <is>
          <t>09/03/2026</t>
        </is>
      </c>
      <c r="B20" s="5" t="inlineStr">
        <is>
          <t>Emiliano Castro - ACME</t>
        </is>
      </c>
      <c r="C20" s="5" t="inlineStr">
        <is>
          <t>Saldo - Regulador - RM-042-220 - 4 KVA - Bifásico</t>
        </is>
      </c>
      <c r="D20" s="6" t="n">
        <v>9786.059999999999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Elizabeth - ACURA</t>
        </is>
      </c>
      <c r="C21" s="5" t="inlineStr">
        <is>
          <t>Regulador - RM-041-120 - 4 KVA - Monofásico + Regulador - RM-051-120 - 5 KVA - Monofásico</t>
        </is>
      </c>
      <c r="D21" s="6" t="n">
        <v>40188.24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10/03/2026</t>
        </is>
      </c>
      <c r="B22" s="5" t="inlineStr">
        <is>
          <t>Elizabeth - ACURA</t>
        </is>
      </c>
      <c r="C22" s="5" t="inlineStr">
        <is>
          <t>Regulador - RM-042N-220 - 4 KVA - Bifásico + UPS-1000VA - 1000VA</t>
        </is>
      </c>
      <c r="D22" s="6" t="n">
        <v>56687.04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10/03/2026</t>
        </is>
      </c>
      <c r="B23" s="5" t="inlineStr">
        <is>
          <t>Roman - OFFICE DEPOT</t>
        </is>
      </c>
      <c r="C23" s="5" t="inlineStr">
        <is>
          <t>Regulador - RM-042N-220 - 4 KVA - Bifásico + UPS-1000VA - 1000VA</t>
        </is>
      </c>
      <c r="D23" s="6" t="n">
        <v>56687.04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10/03/2026</t>
        </is>
      </c>
      <c r="B24" s="5" t="inlineStr">
        <is>
          <t>Emiliano Castro - ACME</t>
        </is>
      </c>
      <c r="C24" s="5" t="inlineStr">
        <is>
          <t>UPS-1000VA - 1000VA</t>
        </is>
      </c>
      <c r="D24" s="6" t="n">
        <v>8352</v>
      </c>
      <c r="E24" s="6">
        <f>D24/1.16</f>
        <v/>
      </c>
      <c r="H24" t="inlineStr">
        <is>
          <t>Hugo</t>
        </is>
      </c>
    </row>
    <row r="25">
      <c r="A25" s="22" t="n"/>
      <c r="B25" s="22" t="n"/>
      <c r="C25" s="22" t="n"/>
      <c r="D25" s="23" t="inlineStr">
        <is>
          <t>TOTAL SIN IVA</t>
        </is>
      </c>
      <c r="E25" s="24">
        <f>SUM(E19:E24)</f>
        <v/>
      </c>
      <c r="F25" s="22" t="n"/>
      <c r="G25" s="22" t="n"/>
      <c r="H25" s="22" t="n"/>
    </row>
    <row r="26">
      <c r="D26" s="27" t="inlineStr">
        <is>
          <t>VENTAS MARZO</t>
        </is>
      </c>
      <c r="E26" s="28">
        <f>E18+E25</f>
        <v/>
      </c>
    </row>
  </sheetData>
  <mergeCells count="14">
    <mergeCell ref="A5:A6"/>
    <mergeCell ref="G5:G6"/>
    <mergeCell ref="F8:F17"/>
    <mergeCell ref="H5:H6"/>
    <mergeCell ref="A7:H7"/>
    <mergeCell ref="A2:H2"/>
    <mergeCell ref="D5:E5"/>
    <mergeCell ref="G8:G17"/>
    <mergeCell ref="F19:F24"/>
    <mergeCell ref="J8:L8"/>
    <mergeCell ref="G19:G24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20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9" t="inlineStr">
        <is>
          <t>Comisiones Anual 2026</t>
        </is>
      </c>
    </row>
    <row r="3">
      <c r="A3" s="30" t="inlineStr">
        <is>
          <t>Reguladores Electromecánicos, Reparaciones y Mantenimientos</t>
        </is>
      </c>
    </row>
    <row r="4"/>
    <row r="5">
      <c r="A5" s="31" t="inlineStr">
        <is>
          <t>Fecha</t>
        </is>
      </c>
      <c r="B5" s="31" t="inlineStr">
        <is>
          <t>Cliente</t>
        </is>
      </c>
      <c r="C5" s="31" t="inlineStr">
        <is>
          <t>Concepto</t>
        </is>
      </c>
      <c r="D5" s="31" t="inlineStr">
        <is>
          <t>DEPÓSITO</t>
        </is>
      </c>
      <c r="E5" s="3" t="n"/>
      <c r="F5" s="31" t="inlineStr">
        <is>
          <t>Total</t>
        </is>
      </c>
      <c r="G5" s="31" t="inlineStr">
        <is>
          <t>Semana</t>
        </is>
      </c>
      <c r="H5" s="31" t="inlineStr">
        <is>
          <t>Vendedor</t>
        </is>
      </c>
    </row>
    <row r="6">
      <c r="A6" s="3" t="n"/>
      <c r="B6" s="3" t="n"/>
      <c r="C6" s="3" t="n"/>
      <c r="D6" s="31" t="inlineStr">
        <is>
          <t>Con IVA</t>
        </is>
      </c>
      <c r="E6" s="31" t="inlineStr">
        <is>
          <t>Sin IVA</t>
        </is>
      </c>
      <c r="F6" s="3" t="n"/>
      <c r="G6" s="3" t="n"/>
      <c r="H6" s="3" t="n"/>
    </row>
    <row r="7"/>
    <row r="8" ht="30" customHeight="1">
      <c r="A8" s="32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</t>
        </is>
      </c>
      <c r="D9" s="6" t="n">
        <v>41668.2</v>
      </c>
      <c r="E9" s="6">
        <f>D9/1.16</f>
        <v/>
      </c>
      <c r="F9" s="33">
        <f>SUM(E9:E15)</f>
        <v/>
      </c>
      <c r="G9" s="8" t="inlineStr">
        <is>
          <t>Semana 1 (06-mar)</t>
        </is>
      </c>
      <c r="H9" t="inlineStr">
        <is>
          <t>Hugo</t>
        </is>
      </c>
      <c r="J9" s="34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</t>
        </is>
      </c>
      <c r="D10" s="6" t="n">
        <v>41668.2</v>
      </c>
      <c r="E10" s="6">
        <f>D10/1.16</f>
        <v/>
      </c>
      <c r="F10" s="10" t="n"/>
      <c r="G10" s="10" t="n"/>
      <c r="H10" t="inlineStr">
        <is>
          <t>Hugo</t>
        </is>
      </c>
      <c r="J10" s="35">
        <f>E23</f>
        <v/>
      </c>
      <c r="K10" s="3" t="n"/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Reparación - Regulador - RM-053-380 - 5 KVA - Trifásico</t>
        </is>
      </c>
      <c r="D11" s="6" t="n">
        <v>42192.19328686827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Mantenimiento - Regulador - RM-051-120 - 5 KVA - Monofásico</t>
        </is>
      </c>
      <c r="D12" s="6" t="n">
        <v>136207.625949565</v>
      </c>
      <c r="E12" s="6">
        <f>D12/1.16</f>
        <v/>
      </c>
      <c r="F12" s="10" t="n"/>
      <c r="G12" s="10" t="n"/>
      <c r="H12" t="inlineStr">
        <is>
          <t>Hugo</t>
        </is>
      </c>
      <c r="J12" s="36" t="inlineStr">
        <is>
          <t>Vendedor</t>
        </is>
      </c>
      <c r="K12" s="36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Regulador - RM-051-127 - 5 KVA - Monofásico</t>
        </is>
      </c>
      <c r="D13" s="6" t="n">
        <v>17772.48</v>
      </c>
      <c r="E13" s="6">
        <f>D13/1.16</f>
        <v/>
      </c>
      <c r="F13" s="10" t="n"/>
      <c r="G13" s="10" t="n"/>
      <c r="H13" t="inlineStr">
        <is>
          <t>Hugo</t>
        </is>
      </c>
      <c r="J13" s="37" t="inlineStr">
        <is>
          <t>Hugo</t>
        </is>
      </c>
      <c r="K13" s="38">
        <f>IF(J10&lt;=690000,0,IF(J10&lt;=890000,J10*0.01,IF(J10&lt;=1090000,J10*0.015,IF(J10&lt;=1290000,J10*0.021,J10*0.0222))))</f>
        <v/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Regulador - RM-053-220 - 5 KVA - Trifásico</t>
        </is>
      </c>
      <c r="D14" s="6" t="n">
        <v>83336.40000000001</v>
      </c>
      <c r="E14" s="6">
        <f>D14/1.16</f>
        <v/>
      </c>
      <c r="F14" s="10" t="n"/>
      <c r="G14" s="10" t="n"/>
      <c r="H14" t="inlineStr">
        <is>
          <t>Hugo</t>
        </is>
      </c>
      <c r="J14" s="37" t="inlineStr">
        <is>
          <t>Marlen</t>
        </is>
      </c>
      <c r="K14" s="38">
        <f>IF(J10&lt;=690000,0,IF(J10&lt;=890000,J10*0.005,IF(J10&lt;=1090000,J10*0.01,IF(J10&lt;=1290000,J10*0.014,J10*0.0148))))</f>
        <v/>
      </c>
    </row>
    <row r="15" ht="15" customHeight="1">
      <c r="A15" s="18" t="inlineStr">
        <is>
          <t>04/03/2026</t>
        </is>
      </c>
      <c r="B15" s="19" t="inlineStr">
        <is>
          <t>Brandon Castro - REDTEAM</t>
        </is>
      </c>
      <c r="C15" s="19" t="inlineStr">
        <is>
          <t>Regulador - RM-042N-220 - 4 KVA - Bifásico</t>
        </is>
      </c>
      <c r="D15" s="20" t="n">
        <v>41668.2</v>
      </c>
      <c r="E15" s="20">
        <f>D15/1.16</f>
        <v/>
      </c>
      <c r="F15" s="21" t="n"/>
      <c r="G15" s="21" t="n"/>
      <c r="H15" s="18" t="inlineStr">
        <is>
          <t>Marlen</t>
        </is>
      </c>
    </row>
    <row r="16">
      <c r="A16" s="39" t="n"/>
      <c r="B16" s="39" t="n"/>
      <c r="C16" s="39" t="n"/>
      <c r="D16" s="40" t="inlineStr">
        <is>
          <t>TOTAL SIN IVA</t>
        </is>
      </c>
      <c r="E16" s="41">
        <f>SUM(E9:E15)</f>
        <v/>
      </c>
      <c r="F16" s="39" t="n"/>
      <c r="G16" s="39" t="n"/>
      <c r="H16" s="39" t="n"/>
    </row>
    <row r="17" ht="15" customHeight="1">
      <c r="A17" t="inlineStr">
        <is>
          <t>09/03/2026</t>
        </is>
      </c>
      <c r="B17" s="5" t="inlineStr">
        <is>
          <t>Emiliano Castro - ACME</t>
        </is>
      </c>
      <c r="C17" s="5" t="inlineStr">
        <is>
          <t>Anticipo - Regulador - RM-042-220 - 4 KVA - Bifásico</t>
        </is>
      </c>
      <c r="D17" s="6" t="n">
        <v>8886.24</v>
      </c>
      <c r="E17" s="6">
        <f>D17/1.16</f>
        <v/>
      </c>
      <c r="F17" s="42">
        <f>SUM(E17:E21)</f>
        <v/>
      </c>
      <c r="G17" s="26" t="inlineStr">
        <is>
          <t>Semana 2 (13-mar)</t>
        </is>
      </c>
      <c r="H17" t="inlineStr">
        <is>
          <t>Hugo</t>
        </is>
      </c>
    </row>
    <row r="18" ht="15" customHeight="1">
      <c r="A18" t="inlineStr">
        <is>
          <t>09/03/2026</t>
        </is>
      </c>
      <c r="B18" s="5" t="inlineStr">
        <is>
          <t>Emiliano Castro - ACME</t>
        </is>
      </c>
      <c r="C18" s="5" t="inlineStr">
        <is>
          <t>Saldo - Regulador - RM-042-220 - 4 KVA - Bifásico</t>
        </is>
      </c>
      <c r="D18" s="6" t="n">
        <v>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10/03/2026</t>
        </is>
      </c>
      <c r="B19" s="5" t="inlineStr">
        <is>
          <t>Elizabeth - ACURA</t>
        </is>
      </c>
      <c r="C19" s="5" t="inlineStr">
        <is>
          <t>Regulador - RM-041-120 - 4 KVA - Monofásico + Regulador - RM-051-120 - 5 KVA - Monofásico</t>
        </is>
      </c>
      <c r="D19" s="6" t="n">
        <v>35544.96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10/03/2026</t>
        </is>
      </c>
      <c r="B20" s="5" t="inlineStr">
        <is>
          <t>Elizabeth - ACURA</t>
        </is>
      </c>
      <c r="C20" s="5" t="inlineStr">
        <is>
          <t>Regulador - RM-042N-220 - 4 KVA - Bifásico</t>
        </is>
      </c>
      <c r="D20" s="6" t="n">
        <v>41668.2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Roman - OFFICE DEPOT</t>
        </is>
      </c>
      <c r="C21" s="5" t="inlineStr">
        <is>
          <t>Regulador - RM-042N-220 - 4 KVA - Bifásico</t>
        </is>
      </c>
      <c r="D21" s="6" t="n">
        <v>41668.2</v>
      </c>
      <c r="E21" s="6">
        <f>D21/1.16</f>
        <v/>
      </c>
      <c r="H21" t="inlineStr">
        <is>
          <t>Hugo</t>
        </is>
      </c>
    </row>
    <row r="22">
      <c r="A22" s="39" t="n"/>
      <c r="B22" s="39" t="n"/>
      <c r="C22" s="39" t="n"/>
      <c r="D22" s="40" t="inlineStr">
        <is>
          <t>TOTAL SIN IVA</t>
        </is>
      </c>
      <c r="E22" s="41">
        <f>SUM(E17:E21)</f>
        <v/>
      </c>
      <c r="F22" s="39" t="n"/>
      <c r="G22" s="39" t="n"/>
      <c r="H22" s="39" t="n"/>
    </row>
    <row r="23">
      <c r="D23" s="27" t="inlineStr">
        <is>
          <t>VENTAS MARZO</t>
        </is>
      </c>
      <c r="E23" s="28">
        <f>E16+E22</f>
        <v/>
      </c>
    </row>
  </sheetData>
  <mergeCells count="16">
    <mergeCell ref="A5:A6"/>
    <mergeCell ref="G5:G6"/>
    <mergeCell ref="G9:G15"/>
    <mergeCell ref="A3:H3"/>
    <mergeCell ref="H5:H6"/>
    <mergeCell ref="F9:F15"/>
    <mergeCell ref="F17:F21"/>
    <mergeCell ref="A2:H2"/>
    <mergeCell ref="D5:E5"/>
    <mergeCell ref="G17:G21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3" t="inlineStr">
        <is>
          <t>Comisions Mensual Equipo de Comercializacion 2026</t>
        </is>
      </c>
    </row>
    <row r="2">
      <c r="A2" s="44" t="inlineStr">
        <is>
          <t>Reguladores Electrónicos, Equipos de EC, UPS, No Breaks, Plantas, Transformadores, Instalaciones</t>
        </is>
      </c>
    </row>
    <row r="4" ht="21" customHeight="1">
      <c r="A4" s="45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6" t="inlineStr">
        <is>
          <t>Fecha</t>
        </is>
      </c>
      <c r="B5" s="46" t="inlineStr">
        <is>
          <t>Cliente</t>
        </is>
      </c>
      <c r="C5" s="46" t="inlineStr">
        <is>
          <t>Concepto</t>
        </is>
      </c>
      <c r="D5" s="46" t="inlineStr">
        <is>
          <t>Deposito</t>
        </is>
      </c>
      <c r="E5" s="3" t="n"/>
      <c r="F5" s="46" t="inlineStr">
        <is>
          <t>Precio Proveedor</t>
        </is>
      </c>
      <c r="G5" s="3" t="n"/>
      <c r="H5" s="47" t="inlineStr">
        <is>
          <t>Base para
Comisión</t>
        </is>
      </c>
      <c r="I5" s="47" t="inlineStr">
        <is>
          <t>Comision</t>
        </is>
      </c>
      <c r="J5" s="47" t="inlineStr">
        <is>
          <t>Vendedor</t>
        </is>
      </c>
    </row>
    <row r="6">
      <c r="A6" s="3" t="n"/>
      <c r="B6" s="3" t="n"/>
      <c r="C6" s="3" t="n"/>
      <c r="D6" s="46" t="inlineStr">
        <is>
          <t>Con IVA</t>
        </is>
      </c>
      <c r="E6" s="46" t="inlineStr">
        <is>
          <t>Sin IVA</t>
        </is>
      </c>
      <c r="F6" s="46" t="inlineStr">
        <is>
          <t>Con IVA</t>
        </is>
      </c>
      <c r="G6" s="46" t="inlineStr">
        <is>
          <t>Sin IVA</t>
        </is>
      </c>
      <c r="H6" s="3" t="n"/>
      <c r="I6" s="3" t="n"/>
      <c r="J6" s="3" t="n"/>
    </row>
    <row r="7">
      <c r="A7" s="48" t="inlineStr">
        <is>
          <t>04/03/2026</t>
        </is>
      </c>
      <c r="B7" s="49" t="inlineStr">
        <is>
          <t>Elizabeth - ACURA</t>
        </is>
      </c>
      <c r="C7" s="49" t="inlineStr">
        <is>
          <t>UPS-1000VA - 1000VA</t>
        </is>
      </c>
      <c r="D7" s="50" t="n">
        <v>8100</v>
      </c>
      <c r="E7" s="50">
        <f>D7/1.16</f>
        <v/>
      </c>
      <c r="F7" s="50" t="n">
        <v>0</v>
      </c>
      <c r="G7" s="50">
        <f>F7/1.16</f>
        <v/>
      </c>
      <c r="H7" s="50">
        <f>E7-G7</f>
        <v/>
      </c>
      <c r="I7" s="50">
        <f>H7*0.05</f>
        <v/>
      </c>
      <c r="J7" s="51" t="inlineStr">
        <is>
          <t>Hugo</t>
        </is>
      </c>
    </row>
    <row r="8">
      <c r="A8" s="48" t="inlineStr">
        <is>
          <t>10/03/2026</t>
        </is>
      </c>
      <c r="B8" s="49" t="inlineStr">
        <is>
          <t>Elizabeth - ACURA</t>
        </is>
      </c>
      <c r="C8" s="49" t="inlineStr">
        <is>
          <t>UPS-1000VA - 1000VA</t>
        </is>
      </c>
      <c r="D8" s="50" t="n">
        <v>8099.999999999999</v>
      </c>
      <c r="E8" s="50">
        <f>D8/1.16</f>
        <v/>
      </c>
      <c r="F8" s="50" t="n">
        <v>0</v>
      </c>
      <c r="G8" s="50">
        <f>F8/1.16</f>
        <v/>
      </c>
      <c r="H8" s="50">
        <f>E8-G8</f>
        <v/>
      </c>
      <c r="I8" s="50">
        <f>H8*0.05</f>
        <v/>
      </c>
      <c r="J8" s="10" t="n"/>
    </row>
    <row r="9">
      <c r="A9" s="48" t="inlineStr">
        <is>
          <t>10/03/2026</t>
        </is>
      </c>
      <c r="B9" s="49" t="inlineStr">
        <is>
          <t>Roman - OFFICE DEPOT</t>
        </is>
      </c>
      <c r="C9" s="49" t="inlineStr">
        <is>
          <t>UPS-1000VA - 1000VA</t>
        </is>
      </c>
      <c r="D9" s="50" t="n">
        <v>8099.999999999999</v>
      </c>
      <c r="E9" s="50">
        <f>D9/1.16</f>
        <v/>
      </c>
      <c r="F9" s="50" t="n">
        <v>0</v>
      </c>
      <c r="G9" s="50">
        <f>F9/1.16</f>
        <v/>
      </c>
      <c r="H9" s="50">
        <f>E9-G9</f>
        <v/>
      </c>
      <c r="I9" s="50">
        <f>H9*0.05</f>
        <v/>
      </c>
      <c r="J9" s="10" t="n"/>
    </row>
    <row r="10">
      <c r="A10" s="48" t="inlineStr">
        <is>
          <t>10/03/2026</t>
        </is>
      </c>
      <c r="B10" s="49" t="inlineStr">
        <is>
          <t>Emiliano Castro - ACME</t>
        </is>
      </c>
      <c r="C10" s="49" t="inlineStr">
        <is>
          <t>UPS-1000VA - 1000VA</t>
        </is>
      </c>
      <c r="D10" s="50" t="n">
        <v>8100</v>
      </c>
      <c r="E10" s="50">
        <f>D10/1.16</f>
        <v/>
      </c>
      <c r="F10" s="50" t="n">
        <v>0</v>
      </c>
      <c r="G10" s="50">
        <f>F10/1.16</f>
        <v/>
      </c>
      <c r="H10" s="50">
        <f>E10-G10</f>
        <v/>
      </c>
      <c r="I10" s="50">
        <f>H10*0.05</f>
        <v/>
      </c>
      <c r="J10" s="10" t="n"/>
    </row>
    <row r="11">
      <c r="A11" s="52" t="n"/>
      <c r="B11" s="52" t="n"/>
      <c r="C11" s="52" t="n"/>
      <c r="D11" s="52" t="n"/>
      <c r="E11" s="52" t="n"/>
      <c r="F11" s="52" t="n"/>
      <c r="G11" s="52" t="n"/>
      <c r="H11" s="53" t="inlineStr">
        <is>
          <t>TOTAL</t>
        </is>
      </c>
      <c r="I11" s="54">
        <f>SUM(I7:I10)</f>
        <v/>
      </c>
      <c r="J11" s="21" t="n"/>
    </row>
    <row r="12">
      <c r="A12" s="55" t="inlineStr">
        <is>
          <t>04/03/2026</t>
        </is>
      </c>
      <c r="B12" s="56" t="inlineStr">
        <is>
          <t>Roman - OFFICE DEPOT</t>
        </is>
      </c>
      <c r="C12" s="56" t="inlineStr">
        <is>
          <t>UPS-1000VA - 1000VA</t>
        </is>
      </c>
      <c r="D12" s="57" t="n">
        <v>8100</v>
      </c>
      <c r="E12" s="57">
        <f>D12/1.16</f>
        <v/>
      </c>
      <c r="F12" s="57" t="n">
        <v>0</v>
      </c>
      <c r="G12" s="57">
        <f>F12/1.16</f>
        <v/>
      </c>
      <c r="H12" s="57">
        <f>E12-G12</f>
        <v/>
      </c>
      <c r="I12" s="57">
        <f>H12*0.1</f>
        <v/>
      </c>
      <c r="J12" s="58" t="inlineStr">
        <is>
          <t>Marlen</t>
        </is>
      </c>
    </row>
    <row r="13">
      <c r="A13" s="59" t="n"/>
      <c r="B13" s="59" t="n"/>
      <c r="C13" s="59" t="n"/>
      <c r="D13" s="59" t="n"/>
      <c r="E13" s="59" t="n"/>
      <c r="F13" s="59" t="n"/>
      <c r="G13" s="59" t="n"/>
      <c r="H13" s="60" t="inlineStr">
        <is>
          <t>TOTAL</t>
        </is>
      </c>
      <c r="I13" s="61">
        <f>SUM(I12:I12)</f>
        <v/>
      </c>
      <c r="J13" s="21" t="n"/>
    </row>
  </sheetData>
  <mergeCells count="13">
    <mergeCell ref="A5:A6"/>
    <mergeCell ref="A1:J1"/>
    <mergeCell ref="H5:H6"/>
    <mergeCell ref="J5:J6"/>
    <mergeCell ref="F5:G5"/>
    <mergeCell ref="D5:E5"/>
    <mergeCell ref="J12:J13"/>
    <mergeCell ref="J7:J11"/>
    <mergeCell ref="A4:J4"/>
    <mergeCell ref="A2: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2026-03-11T05:56:07Z</dcterms:created>
  <dcterms:modified xsi:type="dcterms:W3CDTF">2026-03-11T05:56:07Z</dcterms:modified>
</cp:coreProperties>
</file>