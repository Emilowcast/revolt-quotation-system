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>
        <f>SUM(E9:E9)</f>
        <v/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>
        <f>SUMIF(H9:H48,J11,E9:E48)</f>
        <v/>
      </c>
      <c r="L11" s="16">
        <f>K11/E$49</f>
        <v/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>
        <f>E49</f>
        <v/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>
        <f>SUM(E11:E15)</f>
        <v/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>
        <f>SUM(E17:E20)</f>
        <v/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>
        <f>SUM(E22:E26)</f>
        <v/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>
        <f>SUM(E28:E47)</f>
        <v/>
      </c>
      <c r="F48" s="26" t="n"/>
      <c r="G48" s="26" t="n"/>
      <c r="H48" s="26" t="n"/>
    </row>
    <row r="49">
      <c r="D49" s="29" t="inlineStr">
        <is>
          <t>VENTAS ENERO</t>
        </is>
      </c>
      <c r="E49" s="30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>
        <f>SUM(E52:E52)</f>
        <v/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>
        <f>SUMIF(H52:H78,J54,E52:E78)</f>
        <v/>
      </c>
      <c r="L54" s="16">
        <f>K54/E$79</f>
        <v/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>
        <f>SUMIF(H52:H78,J55,E52:E78)</f>
        <v/>
      </c>
      <c r="L55" s="16">
        <f>K55/E$79</f>
        <v/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>
        <f>E79</f>
        <v/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>
        <f>SUM(E54:E56)</f>
        <v/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>
        <f>SUM(E58:E61)</f>
        <v/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>
        <f>SUM(E63:E77)</f>
        <v/>
      </c>
      <c r="F78" s="26" t="n"/>
      <c r="G78" s="26" t="n"/>
      <c r="H78" s="26" t="n"/>
    </row>
    <row r="79">
      <c r="D79" s="29" t="inlineStr">
        <is>
          <t>VENTAS FEBRERO</t>
        </is>
      </c>
      <c r="E79" s="30">
        <f>E53+E57+E62+E78</f>
        <v/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  <row r="5">
      <c r="A5" s="33" t="inlineStr">
        <is>
          <t>Comisiones Equipos de Comercializacion - Hugo</t>
        </is>
      </c>
    </row>
    <row r="6">
      <c r="A6" s="34" t="inlineStr">
        <is>
          <t>Fecha</t>
        </is>
      </c>
      <c r="B6" s="34" t="inlineStr">
        <is>
          <t>Cliente</t>
        </is>
      </c>
      <c r="C6" s="34" t="inlineStr">
        <is>
          <t>Concepto</t>
        </is>
      </c>
      <c r="D6" s="34" t="inlineStr">
        <is>
          <t>Deposito</t>
        </is>
      </c>
      <c r="E6" s="34" t="inlineStr"/>
      <c r="F6" s="34" t="inlineStr">
        <is>
          <t>Precio Proveedor</t>
        </is>
      </c>
      <c r="G6" s="34" t="inlineStr"/>
      <c r="H6" s="34" t="inlineStr">
        <is>
          <t>Comision</t>
        </is>
      </c>
      <c r="I6" s="34" t="inlineStr"/>
      <c r="J6" s="34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35" t="inlineStr">
        <is>
          <t>TOTAL</t>
        </is>
      </c>
      <c r="I62" s="36" t="n">
        <v>0</v>
      </c>
    </row>
    <row r="65">
      <c r="A65" s="33" t="inlineStr">
        <is>
          <t>Comisiones Equipos de Comercializacion - Marlen</t>
        </is>
      </c>
    </row>
    <row r="66">
      <c r="A66" s="34" t="inlineStr">
        <is>
          <t>Fecha</t>
        </is>
      </c>
      <c r="B66" s="34" t="inlineStr">
        <is>
          <t>Cliente</t>
        </is>
      </c>
      <c r="C66" s="34" t="inlineStr">
        <is>
          <t>Concepto</t>
        </is>
      </c>
      <c r="D66" s="34" t="inlineStr">
        <is>
          <t>Deposito</t>
        </is>
      </c>
      <c r="E66" s="34" t="inlineStr"/>
      <c r="F66" s="34" t="inlineStr">
        <is>
          <t>Precio Proveedor</t>
        </is>
      </c>
      <c r="G66" s="34" t="inlineStr"/>
      <c r="H66" s="34" t="inlineStr">
        <is>
          <t>Comision</t>
        </is>
      </c>
      <c r="I66" s="34" t="inlineStr"/>
      <c r="J66" s="34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35" t="inlineStr">
        <is>
          <t>TOTAL</t>
        </is>
      </c>
      <c r="I70" s="36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2026-03-01T21:04:10Z</dcterms:created>
  <dcterms:modified xsi:type="dcterms:W3CDTF">2026-03-01T21:04:10Z</dcterms:modified>
</cp:coreProperties>
</file>