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 - 460 V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 - 220 V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 - 380 V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SUMIF(H8:H22,J10,E8:E22)</f>
        <v/>
      </c>
      <c r="L10" s="14">
        <f>K10/E$23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 - 120 V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SUMIF(H8:H22,J11,E8:E22)</f>
        <v/>
      </c>
      <c r="L11" s="14">
        <f>K11/E$23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 - 127 V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E23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 - 220 V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 - UPS-1000VA - 1000VA - 1000 V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 - UPS-1000VA - 1000VA - 1000 V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Transformador - TM-040-520 - 500 VA - Monofásico - 500 V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 - 220 V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 - 220 V</t>
        </is>
      </c>
      <c r="D19" s="6" t="n">
        <v>9786.059999999999</v>
      </c>
      <c r="E19" s="6">
        <f>D19/1.16</f>
        <v/>
      </c>
      <c r="F19" s="25">
        <f>SUM(E19:E21)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 - 220 V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- 120 V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>
      <c r="A22" s="22" t="n"/>
      <c r="B22" s="22" t="n"/>
      <c r="C22" s="22" t="n"/>
      <c r="D22" s="23" t="inlineStr">
        <is>
          <t>TOTAL SIN IVA</t>
        </is>
      </c>
      <c r="E22" s="24">
        <f>SUM(E19:E21)</f>
        <v/>
      </c>
      <c r="F22" s="22" t="n"/>
      <c r="G22" s="22" t="n"/>
      <c r="H22" s="22" t="n"/>
    </row>
    <row r="23">
      <c r="D23" s="27" t="inlineStr">
        <is>
          <t>VENTAS MARZO</t>
        </is>
      </c>
      <c r="E23" s="28">
        <f>E18+E22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J8:L8"/>
    <mergeCell ref="G19:G21"/>
    <mergeCell ref="F5:F6"/>
    <mergeCell ref="F19:F21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E21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 - 380 V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 - 120 V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 - 127 V</t>
        </is>
      </c>
      <c r="D13" s="6" t="n">
        <v>19403.28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 - 220 V</t>
        </is>
      </c>
      <c r="D14" s="6" t="n">
        <v>95626.25999999999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 - 220 V</t>
        </is>
      </c>
      <c r="D15" s="20" t="n">
        <v>47291.04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 - 220 V</t>
        </is>
      </c>
      <c r="D17" s="6" t="n">
        <v>9786.059999999999</v>
      </c>
      <c r="E17" s="6">
        <f>D17/1.16</f>
        <v/>
      </c>
      <c r="F17" s="42">
        <f>SUM(E17:E19)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 - 220 V</t>
        </is>
      </c>
      <c r="D18" s="6" t="n">
        <v>9786.059999999999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- 120 V</t>
        </is>
      </c>
      <c r="D19" s="6" t="n">
        <v>40188.24</v>
      </c>
      <c r="E19" s="6">
        <f>D19/1.16</f>
        <v/>
      </c>
      <c r="H19" t="inlineStr">
        <is>
          <t>Hugo</t>
        </is>
      </c>
    </row>
    <row r="20">
      <c r="A20" s="39" t="n"/>
      <c r="B20" s="39" t="n"/>
      <c r="C20" s="39" t="n"/>
      <c r="D20" s="40" t="inlineStr">
        <is>
          <t>TOTAL SIN IVA</t>
        </is>
      </c>
      <c r="E20" s="41">
        <f>SUM(E17:E19)</f>
        <v/>
      </c>
      <c r="F20" s="39" t="n"/>
      <c r="G20" s="39" t="n"/>
      <c r="H20" s="39" t="n"/>
    </row>
    <row r="21">
      <c r="D21" s="27" t="inlineStr">
        <is>
          <t>VENTAS MARZO</t>
        </is>
      </c>
      <c r="E21" s="28">
        <f>E16+E20</f>
        <v/>
      </c>
    </row>
  </sheetData>
  <mergeCells count="16">
    <mergeCell ref="A5:A6"/>
    <mergeCell ref="G5:G6"/>
    <mergeCell ref="G9:G15"/>
    <mergeCell ref="A3:H3"/>
    <mergeCell ref="H5:H6"/>
    <mergeCell ref="F17:F19"/>
    <mergeCell ref="F9:F15"/>
    <mergeCell ref="G17:G19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 - UPS-1000VA - 1000VA - 1000 V</t>
        </is>
      </c>
      <c r="D7" s="50" t="n">
        <v>8352</v>
      </c>
      <c r="E7" s="50">
        <f>D7/1.16</f>
        <v/>
      </c>
      <c r="F7" s="50" t="n">
        <v>5000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52" t="n"/>
      <c r="B8" s="52" t="n"/>
      <c r="C8" s="52" t="n"/>
      <c r="D8" s="52" t="n"/>
      <c r="E8" s="52" t="n"/>
      <c r="F8" s="52" t="n"/>
      <c r="G8" s="52" t="n"/>
      <c r="H8" s="53" t="inlineStr">
        <is>
          <t>TOTAL</t>
        </is>
      </c>
      <c r="I8" s="54">
        <f>SUM(I7:I7)</f>
        <v/>
      </c>
      <c r="J8" s="21" t="n"/>
    </row>
    <row r="9">
      <c r="A9" s="55" t="inlineStr">
        <is>
          <t>04/03/2026</t>
        </is>
      </c>
      <c r="B9" s="56" t="inlineStr">
        <is>
          <t>Roman - OFFICE DEPOT</t>
        </is>
      </c>
      <c r="C9" s="56" t="inlineStr">
        <is>
          <t>UPS - UPS-1000VA - 1000VA - 1000 V</t>
        </is>
      </c>
      <c r="D9" s="57" t="n">
        <v>8352</v>
      </c>
      <c r="E9" s="57">
        <f>D9/1.16</f>
        <v/>
      </c>
      <c r="F9" s="57" t="n">
        <v>5000</v>
      </c>
      <c r="G9" s="57">
        <f>F9/1.16</f>
        <v/>
      </c>
      <c r="H9" s="57">
        <f>E9-G9</f>
        <v/>
      </c>
      <c r="I9" s="57">
        <f>H9*0.1</f>
        <v/>
      </c>
      <c r="J9" s="58" t="inlineStr">
        <is>
          <t>Marlen</t>
        </is>
      </c>
    </row>
    <row r="10">
      <c r="A10" s="55" t="inlineStr">
        <is>
          <t>04/03/2026</t>
        </is>
      </c>
      <c r="B10" s="56" t="inlineStr">
        <is>
          <t>Elizabeth - ACURA</t>
        </is>
      </c>
      <c r="C10" s="56" t="inlineStr">
        <is>
          <t>Transformador - TM-040-520 - 500 VA - Monofásico - 500 V</t>
        </is>
      </c>
      <c r="D10" s="57" t="n">
        <v>11066.4</v>
      </c>
      <c r="E10" s="57">
        <f>D10/1.16</f>
        <v/>
      </c>
      <c r="F10" s="57" t="n">
        <v>5000</v>
      </c>
      <c r="G10" s="57">
        <f>F10/1.16</f>
        <v/>
      </c>
      <c r="H10" s="57">
        <f>E10-G10</f>
        <v/>
      </c>
      <c r="I10" s="57">
        <f>H10*0.1</f>
        <v/>
      </c>
      <c r="J10" s="10" t="n"/>
    </row>
    <row r="11">
      <c r="A11" s="59" t="n"/>
      <c r="B11" s="59" t="n"/>
      <c r="C11" s="59" t="n"/>
      <c r="D11" s="59" t="n"/>
      <c r="E11" s="59" t="n"/>
      <c r="F11" s="59" t="n"/>
      <c r="G11" s="59" t="n"/>
      <c r="H11" s="60" t="inlineStr">
        <is>
          <t>TOTAL</t>
        </is>
      </c>
      <c r="I11" s="61">
        <f>SUM(I9:I10)</f>
        <v/>
      </c>
      <c r="J11" s="21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2026-03-10T19:44:52Z</dcterms:created>
  <dcterms:modified xsi:type="dcterms:W3CDTF">2026-03-10T19:44:52Z</dcterms:modified>
</cp:coreProperties>
</file>