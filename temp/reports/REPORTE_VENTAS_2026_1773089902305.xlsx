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5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0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0" fillId="0" borderId="2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8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RM-1003-460 - 100 KVA - Trifásico - 460 V</t>
        </is>
      </c>
      <c r="D8" s="6" t="n">
        <v>168421.5</v>
      </c>
      <c r="E8" s="6">
        <f>D8/1.16</f>
        <v/>
      </c>
      <c r="F8" s="7">
        <f>SUM(E8:E29)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 - 460 V</t>
        </is>
      </c>
      <c r="D9" s="6" t="n">
        <v>47291.04</v>
      </c>
      <c r="E9" s="6">
        <f>D9/1.16</f>
        <v/>
      </c>
      <c r="H9" t="inlineStr">
        <is>
          <t>Hugo</t>
        </is>
      </c>
      <c r="J9" s="10" t="inlineStr">
        <is>
          <t>VENDEDOR</t>
        </is>
      </c>
      <c r="K9" s="10" t="inlineStr">
        <is>
          <t>VENTAS</t>
        </is>
      </c>
      <c r="L9" s="10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 - 220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11" t="inlineStr">
        <is>
          <t>Hugo</t>
        </is>
      </c>
      <c r="K10" s="12">
        <f>SUMIF(H8:H37,J10,E8:E37)</f>
        <v/>
      </c>
      <c r="L10" s="13">
        <f>K10/E$38</f>
        <v/>
      </c>
    </row>
    <row r="11" ht="15" customHeight="1">
      <c r="A11" t="inlineStr">
        <is>
          <t>03/03/2026</t>
        </is>
      </c>
      <c r="B11" s="5" t="inlineStr">
        <is>
          <t>Brandon Castro - REDTEAM</t>
        </is>
      </c>
      <c r="C11" s="5" t="inlineStr">
        <is>
          <t>Regulador - RM-053-460 - 5 KVA - Trifásico - 460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11" t="inlineStr">
        <is>
          <t>Marlen</t>
        </is>
      </c>
      <c r="K11" s="12">
        <f>SUMIF(H8:H37,J11,E8:E37)</f>
        <v/>
      </c>
      <c r="L11" s="13">
        <f>K11/E$38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Reparación - Regulador - RM-053-380 - 5 KVA - Trifásico - 380 V</t>
        </is>
      </c>
      <c r="D12" s="6" t="n">
        <v>50000</v>
      </c>
      <c r="E12" s="6">
        <f>D12/1.16</f>
        <v/>
      </c>
      <c r="H12" t="inlineStr">
        <is>
          <t>Hugo</t>
        </is>
      </c>
      <c r="J12" s="14" t="inlineStr">
        <is>
          <t>Total</t>
        </is>
      </c>
      <c r="K12" s="15">
        <f>E38</f>
        <v/>
      </c>
      <c r="L12" s="16" t="n">
        <v>1</v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Mantenimiento - Regulador - RM-051-120 - 5 KVA - Monofásico - 120 V</t>
        </is>
      </c>
      <c r="D13" s="6" t="n">
        <v>150000</v>
      </c>
      <c r="E13" s="6">
        <f>D13/1.16</f>
        <v/>
      </c>
      <c r="H13" t="inlineStr">
        <is>
          <t>Hugo</t>
        </is>
      </c>
    </row>
    <row r="14" ht="15" customHeight="1">
      <c r="A14" t="inlineStr">
        <is>
          <t>03/03/2026</t>
        </is>
      </c>
      <c r="B14" s="5" t="inlineStr">
        <is>
          <t>Brandon Castro - REDTEAM</t>
        </is>
      </c>
      <c r="C14" s="5" t="inlineStr">
        <is>
          <t>Anticipo - Regulador - RM-053-480 - 5 KVA - Trifásico - 480 V</t>
        </is>
      </c>
      <c r="D14" s="6" t="n">
        <v>908080</v>
      </c>
      <c r="E14" s="6">
        <f>D14/1.16</f>
        <v/>
      </c>
      <c r="H14" t="inlineStr">
        <is>
          <t>Hugo</t>
        </is>
      </c>
    </row>
    <row r="15" ht="15" customHeight="1">
      <c r="A15" t="inlineStr">
        <is>
          <t>03/03/2026</t>
        </is>
      </c>
      <c r="B15" s="5" t="inlineStr">
        <is>
          <t>Elizabeth - ACURA</t>
        </is>
      </c>
      <c r="C15" s="5" t="inlineStr">
        <is>
          <t>Regulador - RM-051-127 - 5 KVA - Monofásico - 127 V</t>
        </is>
      </c>
      <c r="D15" s="6" t="n">
        <v>19403.28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04/03/2026</t>
        </is>
      </c>
      <c r="B16" s="5" t="inlineStr">
        <is>
          <t>Elizabeth - ACURA</t>
        </is>
      </c>
      <c r="C16" s="5" t="inlineStr">
        <is>
          <t>Regulador - RM-053-220 - 5 KVA - Trifásico - 220 V</t>
        </is>
      </c>
      <c r="D16" s="6" t="n">
        <v>95626.25999999999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UPS - UPS-1000VA - 1000VA - 1000 V</t>
        </is>
      </c>
      <c r="D17" s="6" t="n">
        <v>8352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04/03/2026</t>
        </is>
      </c>
      <c r="B18" s="5" t="inlineStr">
        <is>
          <t>Roman - OFFICE DEPOT</t>
        </is>
      </c>
      <c r="C18" s="5" t="inlineStr">
        <is>
          <t>UPS - UPS-1000VA - 1000VA - 1000 V</t>
        </is>
      </c>
      <c r="D18" s="6" t="n">
        <v>8352</v>
      </c>
      <c r="E18" s="6">
        <f>D18/1.16</f>
        <v/>
      </c>
      <c r="H18" t="inlineStr">
        <is>
          <t>Marlen</t>
        </is>
      </c>
    </row>
    <row r="19" ht="15" customHeight="1">
      <c r="A19" t="inlineStr">
        <is>
          <t>04/03/2026</t>
        </is>
      </c>
      <c r="B19" s="5" t="inlineStr">
        <is>
          <t>Elizabeth - ACURA</t>
        </is>
      </c>
      <c r="C19" s="5" t="inlineStr">
        <is>
          <t>Transformador - TM-040-520 - 500 VA - Monofásico - 500 V</t>
        </is>
      </c>
      <c r="D19" s="6" t="n">
        <v>11066.4</v>
      </c>
      <c r="E19" s="6">
        <f>D19/1.16</f>
        <v/>
      </c>
      <c r="H19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Brandon Castro - REDTEAM</t>
        </is>
      </c>
      <c r="C20" s="18" t="inlineStr">
        <is>
          <t>Regulador - RM-042N-220 - 4 KVA - Bifásico - 220 V</t>
        </is>
      </c>
      <c r="D20" s="19" t="n">
        <v>47291.04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Brandon Castro - REDTEAM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04/03/2026</t>
        </is>
      </c>
      <c r="B22" s="18" t="inlineStr">
        <is>
          <t>Emiliano Castro - ACME</t>
        </is>
      </c>
      <c r="C22" s="18" t="inlineStr">
        <is>
          <t>Regulador - RM-042N-220 - 4 KVA - Bifásico - 220 V</t>
        </is>
      </c>
      <c r="D22" s="19" t="n">
        <v>41668.2</v>
      </c>
      <c r="E22" s="19">
        <f>D22/1.16</f>
        <v/>
      </c>
      <c r="H22" s="17" t="inlineStr">
        <is>
          <t>Marlen</t>
        </is>
      </c>
    </row>
    <row r="23" ht="15" customHeight="1">
      <c r="A23" s="17" t="inlineStr">
        <is>
          <t>04/03/2026</t>
        </is>
      </c>
      <c r="B23" s="18" t="inlineStr">
        <is>
          <t>Emiliano Castro - ACME</t>
        </is>
      </c>
      <c r="C23" s="18" t="inlineStr">
        <is>
          <t>Regulador - RM-042N-220 - 4 KVA - Bifásico - 220 V</t>
        </is>
      </c>
      <c r="D23" s="19" t="n">
        <v>47291.04</v>
      </c>
      <c r="E23" s="19">
        <f>D23/1.16</f>
        <v/>
      </c>
      <c r="H23" s="17" t="inlineStr">
        <is>
          <t>Marlen</t>
        </is>
      </c>
    </row>
    <row r="24" ht="15" customHeight="1">
      <c r="A24" s="17" t="inlineStr">
        <is>
          <t>05/03/2026</t>
        </is>
      </c>
      <c r="B24" s="18" t="inlineStr">
        <is>
          <t>Roman - OFFICE DEPOT</t>
        </is>
      </c>
      <c r="C24" s="18" t="inlineStr">
        <is>
          <t>Regulador - RM-042N-220 - 4 KVA - Bifásico - 220 V</t>
        </is>
      </c>
      <c r="D24" s="19" t="n">
        <v>47291.04</v>
      </c>
      <c r="E24" s="19">
        <f>D24/1.16</f>
        <v/>
      </c>
      <c r="H24" s="17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Roman - OFFICE DEPOT</t>
        </is>
      </c>
      <c r="C26" s="5" t="inlineStr">
        <is>
          <t>Regulador - RM-063-460 - 6 KVA - Trifásico - 460 V</t>
        </is>
      </c>
      <c r="D26" s="6" t="n">
        <v>47291.04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Regulador - RM-042N-220 - 4 KVA - Bifásico - 220 V</t>
        </is>
      </c>
      <c r="D27" s="6" t="n">
        <v>47291.04</v>
      </c>
      <c r="E27" s="6">
        <f>D27/1.16</f>
        <v/>
      </c>
      <c r="H27" t="inlineStr">
        <is>
          <t>Hugo</t>
        </is>
      </c>
    </row>
    <row r="28" ht="15" customHeight="1">
      <c r="A28" t="inlineStr">
        <is>
          <t>06/03/2026</t>
        </is>
      </c>
      <c r="B28" s="5" t="inlineStr">
        <is>
          <t>Elizabeth - ACURA</t>
        </is>
      </c>
      <c r="C28" s="5" t="inlineStr">
        <is>
          <t>Anticipo - Regulador - RM-042N-220 - 4 KVA - Bifásico - 220 V</t>
        </is>
      </c>
      <c r="D28" s="6" t="n">
        <v>23749.92</v>
      </c>
      <c r="E28" s="6">
        <f>D28/1.16</f>
        <v/>
      </c>
      <c r="H28" t="inlineStr">
        <is>
          <t>Hugo</t>
        </is>
      </c>
    </row>
    <row r="29" ht="15" customHeight="1">
      <c r="A29" t="inlineStr">
        <is>
          <t>06/03/2026</t>
        </is>
      </c>
      <c r="B29" s="5" t="inlineStr">
        <is>
          <t>Elizabeth - ACURA</t>
        </is>
      </c>
      <c r="C29" s="5" t="inlineStr">
        <is>
          <t>Anticipo - Regulador - RM-042N-220 - 4 KVA - Bifásico - 220 V</t>
        </is>
      </c>
      <c r="D29" s="6" t="n">
        <v>20000</v>
      </c>
      <c r="E29" s="6">
        <f>D29/1.16</f>
        <v/>
      </c>
      <c r="H29" t="inlineStr">
        <is>
          <t>Hugo</t>
        </is>
      </c>
    </row>
    <row r="30">
      <c r="A30" s="20" t="n"/>
      <c r="B30" s="20" t="n"/>
      <c r="C30" s="20" t="n"/>
      <c r="D30" s="21" t="inlineStr">
        <is>
          <t>TOTAL SIN IVA</t>
        </is>
      </c>
      <c r="E30" s="22">
        <f>SUM(E8:E29)</f>
        <v/>
      </c>
      <c r="F30" s="20" t="n"/>
      <c r="G30" s="20" t="n"/>
      <c r="H30" s="20" t="n"/>
    </row>
    <row r="31" ht="15" customHeight="1">
      <c r="A31" t="inlineStr">
        <is>
          <t>07/03/2026</t>
        </is>
      </c>
      <c r="B31" s="5" t="inlineStr">
        <is>
          <t>Elizabeth - ACURA</t>
        </is>
      </c>
      <c r="C31" s="5" t="inlineStr">
        <is>
          <t>RM-042N-220 - 4 kVA - Bifásico con Neutro</t>
        </is>
      </c>
      <c r="D31" s="6" t="n">
        <v>27291.04</v>
      </c>
      <c r="E31" s="6">
        <f>D31/1.16</f>
        <v/>
      </c>
      <c r="F31" s="7">
        <f>SUM(E31:E36)</f>
        <v/>
      </c>
      <c r="G31" s="8" t="inlineStr">
        <is>
          <t>Semana 2 (13-mar)</t>
        </is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Roman - OFFICE DEPOT</t>
        </is>
      </c>
      <c r="C32" s="5" t="inlineStr">
        <is>
          <t>RM-042N-220 - 4 kVA - Bifásico con Neutro</t>
        </is>
      </c>
      <c r="D32" s="6" t="n">
        <v>23645.52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Elizabeth - ACURA</t>
        </is>
      </c>
      <c r="C33" s="5" t="inlineStr">
        <is>
          <t>Anticipo - Regulador - RM-042-220 - 4 KVA - Bifásico - 220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Elizabeth - ACURA</t>
        </is>
      </c>
      <c r="C34" s="5" t="inlineStr">
        <is>
          <t>RM-042-220 - 4 kVA - Bifásico sin Neutro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 ht="15" customHeight="1">
      <c r="A35" t="inlineStr">
        <is>
          <t>09/03/2026</t>
        </is>
      </c>
      <c r="B35" s="5" t="inlineStr">
        <is>
          <t>Roman - OFFICE DEPOT</t>
        </is>
      </c>
      <c r="C35" s="5" t="inlineStr">
        <is>
          <t>Anticipo - Regulador - RM-041-127 - 4 KVA - Monofásico - 127 V</t>
        </is>
      </c>
      <c r="D35" s="6" t="n">
        <v>9786.059999999999</v>
      </c>
      <c r="E35" s="6">
        <f>D35/1.16</f>
        <v/>
      </c>
      <c r="H35" t="inlineStr">
        <is>
          <t>Hugo</t>
        </is>
      </c>
    </row>
    <row r="36" ht="15" customHeight="1">
      <c r="A36" t="inlineStr">
        <is>
          <t>09/03/2026</t>
        </is>
      </c>
      <c r="B36" s="5" t="inlineStr">
        <is>
          <t>Roman - OFFICE DEPOT</t>
        </is>
      </c>
      <c r="C36" s="5" t="inlineStr">
        <is>
          <t>RM-041-127 - 4 kVA - Monofásico</t>
        </is>
      </c>
      <c r="D36" s="6" t="n">
        <v>9786.059999999999</v>
      </c>
      <c r="E36" s="6">
        <f>D36/1.16</f>
        <v/>
      </c>
      <c r="H36" t="inlineStr">
        <is>
          <t>Hugo</t>
        </is>
      </c>
    </row>
    <row r="37">
      <c r="A37" s="20" t="n"/>
      <c r="B37" s="20" t="n"/>
      <c r="C37" s="20" t="n"/>
      <c r="D37" s="21" t="inlineStr">
        <is>
          <t>TOTAL SIN IVA</t>
        </is>
      </c>
      <c r="E37" s="22">
        <f>SUM(E31:E36)</f>
        <v/>
      </c>
      <c r="F37" s="20" t="n"/>
      <c r="G37" s="20" t="n"/>
      <c r="H37" s="20" t="n"/>
    </row>
    <row r="38">
      <c r="D38" s="23" t="inlineStr">
        <is>
          <t>VENTAS MARZO</t>
        </is>
      </c>
      <c r="E38" s="24">
        <f>E30+E37</f>
        <v/>
      </c>
    </row>
  </sheetData>
  <mergeCells count="14">
    <mergeCell ref="A5:A6"/>
    <mergeCell ref="G5:G6"/>
    <mergeCell ref="G31:G36"/>
    <mergeCell ref="H5:H6"/>
    <mergeCell ref="F8:F29"/>
    <mergeCell ref="A7:H7"/>
    <mergeCell ref="A2:H2"/>
    <mergeCell ref="F31:F36"/>
    <mergeCell ref="D5:E5"/>
    <mergeCell ref="G8:G29"/>
    <mergeCell ref="J8:L8"/>
    <mergeCell ref="F5:F6"/>
    <mergeCell ref="B5:B6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5" t="inlineStr">
        <is>
          <t>Comisiones Anual 2026</t>
        </is>
      </c>
    </row>
    <row r="3">
      <c r="A3" s="26" t="inlineStr">
        <is>
          <t>Reguladores Electromecánicos, Reparaciones y Mantenimientos</t>
        </is>
      </c>
    </row>
    <row r="4"/>
    <row r="5">
      <c r="A5" s="27" t="inlineStr">
        <is>
          <t>Fecha</t>
        </is>
      </c>
      <c r="B5" s="27" t="inlineStr">
        <is>
          <t>Cliente</t>
        </is>
      </c>
      <c r="C5" s="27" t="inlineStr">
        <is>
          <t>Concepto</t>
        </is>
      </c>
      <c r="D5" s="27" t="inlineStr">
        <is>
          <t>DEPÓSITO</t>
        </is>
      </c>
      <c r="E5" s="3" t="n"/>
      <c r="F5" s="27" t="inlineStr">
        <is>
          <t>Total</t>
        </is>
      </c>
      <c r="G5" s="27" t="inlineStr">
        <is>
          <t>Semana</t>
        </is>
      </c>
      <c r="H5" s="27" t="inlineStr">
        <is>
          <t>Vendedor</t>
        </is>
      </c>
    </row>
    <row r="6">
      <c r="A6" s="3" t="n"/>
      <c r="B6" s="3" t="n"/>
      <c r="C6" s="3" t="n"/>
      <c r="D6" s="27" t="inlineStr">
        <is>
          <t>Con IVA</t>
        </is>
      </c>
      <c r="E6" s="27" t="inlineStr">
        <is>
          <t>Sin IVA</t>
        </is>
      </c>
      <c r="F6" s="3" t="n"/>
      <c r="G6" s="3" t="n"/>
      <c r="H6" s="3" t="n"/>
    </row>
    <row r="7"/>
    <row r="8" ht="30" customHeight="1">
      <c r="A8" s="28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RM-1003-460 - 100 KVA - Trifásico - 460 V</t>
        </is>
      </c>
      <c r="D9" s="6" t="n">
        <v>168421.5</v>
      </c>
      <c r="E9" s="6">
        <f>D9/1.16</f>
        <v/>
      </c>
      <c r="F9" s="29">
        <f>SUM(E9:E27)</f>
        <v/>
      </c>
      <c r="G9" s="8" t="inlineStr">
        <is>
          <t>Semana 1 (06-mar)</t>
        </is>
      </c>
      <c r="H9" t="inlineStr">
        <is>
          <t>Hugo</t>
        </is>
      </c>
      <c r="J9" s="30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Regulador - RM-053-460 - 5 KVA - Trifásico - 460 V</t>
        </is>
      </c>
      <c r="D10" s="6" t="n">
        <v>47291.04</v>
      </c>
      <c r="E10" s="6">
        <f>D10/1.16</f>
        <v/>
      </c>
      <c r="H10" t="inlineStr">
        <is>
          <t>Hugo</t>
        </is>
      </c>
      <c r="J10" s="31">
        <f>E36</f>
        <v/>
      </c>
      <c r="K10" s="3" t="n"/>
    </row>
    <row r="11" ht="15" customHeight="1">
      <c r="A11" t="inlineStr">
        <is>
          <t>03/03/2026</t>
        </is>
      </c>
      <c r="B11" s="5" t="inlineStr">
        <is>
          <t>Roman - OFFICE DEPOT</t>
        </is>
      </c>
      <c r="C11" s="5" t="inlineStr">
        <is>
          <t>Regulador - RM-042N-220 - 4 KVA - Bifásico - 220 V</t>
        </is>
      </c>
      <c r="D11" s="6" t="n">
        <v>47291.04</v>
      </c>
      <c r="E11" s="6">
        <f>D11/1.16</f>
        <v/>
      </c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Brandon Castro - REDTEAM</t>
        </is>
      </c>
      <c r="C12" s="5" t="inlineStr">
        <is>
          <t>Regulador - RM-053-460 - 5 KVA - Trifásico - 460 V</t>
        </is>
      </c>
      <c r="D12" s="6" t="n">
        <v>47291.04</v>
      </c>
      <c r="E12" s="6">
        <f>D12/1.16</f>
        <v/>
      </c>
      <c r="H12" t="inlineStr">
        <is>
          <t>Hugo</t>
        </is>
      </c>
      <c r="J12" s="32" t="inlineStr">
        <is>
          <t>Vendedor</t>
        </is>
      </c>
      <c r="K12" s="32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Reparación - Regulador - RM-053-380 - 5 KVA - Trifásico - 380 V</t>
        </is>
      </c>
      <c r="D13" s="6" t="n">
        <v>50000</v>
      </c>
      <c r="E13" s="6">
        <f>D13/1.16</f>
        <v/>
      </c>
      <c r="H13" t="inlineStr">
        <is>
          <t>Hugo</t>
        </is>
      </c>
      <c r="J13" s="33" t="inlineStr">
        <is>
          <t>Hugo</t>
        </is>
      </c>
      <c r="K13" s="34">
        <f>IF(J10&lt;=690000,0,IF(J10&lt;=890000,J10*0.01,IF(J10&lt;=1090000,J10*0.015,IF(J10&lt;=1290000,J10*0.021,J10*0.0222))))</f>
        <v/>
      </c>
    </row>
    <row r="14" ht="15" customHeight="1">
      <c r="A14" t="inlineStr">
        <is>
          <t>03/03/2026</t>
        </is>
      </c>
      <c r="B14" s="5" t="inlineStr">
        <is>
          <t>Elizabeth - ACURA</t>
        </is>
      </c>
      <c r="C14" s="5" t="inlineStr">
        <is>
          <t>Mantenimiento - Regulador - RM-051-120 - 5 KVA - Monofásico - 120 V</t>
        </is>
      </c>
      <c r="D14" s="6" t="n">
        <v>150000</v>
      </c>
      <c r="E14" s="6">
        <f>D14/1.16</f>
        <v/>
      </c>
      <c r="H14" t="inlineStr">
        <is>
          <t>Hugo</t>
        </is>
      </c>
      <c r="J14" s="33" t="inlineStr">
        <is>
          <t>Marlen</t>
        </is>
      </c>
      <c r="K14" s="34">
        <f>IF(J10&lt;=690000,0,IF(J10&lt;=890000,J10*0.005,IF(J10&lt;=1090000,J10*0.01,IF(J10&lt;=1290000,J10*0.014,J10*0.0148))))</f>
        <v/>
      </c>
    </row>
    <row r="15" ht="15" customHeight="1">
      <c r="A15" t="inlineStr">
        <is>
          <t>03/03/2026</t>
        </is>
      </c>
      <c r="B15" s="5" t="inlineStr">
        <is>
          <t>Brandon Castro - REDTEAM</t>
        </is>
      </c>
      <c r="C15" s="5" t="inlineStr">
        <is>
          <t>Anticipo - Regulador - RM-053-480 - 5 KVA - Trifásico - 480 V</t>
        </is>
      </c>
      <c r="D15" s="6" t="n">
        <v>908080</v>
      </c>
      <c r="E15" s="6">
        <f>D15/1.16</f>
        <v/>
      </c>
      <c r="H15" t="inlineStr">
        <is>
          <t>Hugo</t>
        </is>
      </c>
    </row>
    <row r="16" ht="15" customHeight="1">
      <c r="A16" t="inlineStr">
        <is>
          <t>03/03/2026</t>
        </is>
      </c>
      <c r="B16" s="5" t="inlineStr">
        <is>
          <t>Elizabeth - ACURA</t>
        </is>
      </c>
      <c r="C16" s="5" t="inlineStr">
        <is>
          <t>Regulador - RM-051-127 - 5 KVA - Monofásico - 127 V</t>
        </is>
      </c>
      <c r="D16" s="6" t="n">
        <v>19403.28</v>
      </c>
      <c r="E16" s="6">
        <f>D16/1.16</f>
        <v/>
      </c>
      <c r="H16" t="inlineStr">
        <is>
          <t>Hugo</t>
        </is>
      </c>
    </row>
    <row r="17" ht="15" customHeight="1">
      <c r="A17" t="inlineStr">
        <is>
          <t>04/03/2026</t>
        </is>
      </c>
      <c r="B17" s="5" t="inlineStr">
        <is>
          <t>Elizabeth - ACURA</t>
        </is>
      </c>
      <c r="C17" s="5" t="inlineStr">
        <is>
          <t>Regulador - RM-053-220 - 5 KVA - Trifásico - 220 V</t>
        </is>
      </c>
      <c r="D17" s="6" t="n">
        <v>95626.25999999999</v>
      </c>
      <c r="E17" s="6">
        <f>D17/1.16</f>
        <v/>
      </c>
      <c r="H17" t="inlineStr">
        <is>
          <t>Hugo</t>
        </is>
      </c>
    </row>
    <row r="18" ht="15" customHeight="1">
      <c r="A18" s="17" t="inlineStr">
        <is>
          <t>04/03/2026</t>
        </is>
      </c>
      <c r="B18" s="18" t="inlineStr">
        <is>
          <t>Brandon Castro - REDTEAM</t>
        </is>
      </c>
      <c r="C18" s="18" t="inlineStr">
        <is>
          <t>Regulador - RM-042N-220 - 4 KVA - Bifásico - 220 V</t>
        </is>
      </c>
      <c r="D18" s="19" t="n">
        <v>47291.04</v>
      </c>
      <c r="E18" s="19">
        <f>D18/1.16</f>
        <v/>
      </c>
      <c r="H18" s="17" t="inlineStr">
        <is>
          <t>Marlen</t>
        </is>
      </c>
    </row>
    <row r="19" ht="15" customHeight="1">
      <c r="A19" s="17" t="inlineStr">
        <is>
          <t>04/03/2026</t>
        </is>
      </c>
      <c r="B19" s="18" t="inlineStr">
        <is>
          <t>Brandon Castro - REDTEAM</t>
        </is>
      </c>
      <c r="C19" s="18" t="inlineStr">
        <is>
          <t>Regulador - RM-042N-220 - 4 KVA - Bifásico - 220 V</t>
        </is>
      </c>
      <c r="D19" s="19" t="n">
        <v>47291.04</v>
      </c>
      <c r="E19" s="19">
        <f>D19/1.16</f>
        <v/>
      </c>
      <c r="H19" s="17" t="inlineStr">
        <is>
          <t>Marlen</t>
        </is>
      </c>
    </row>
    <row r="20" ht="15" customHeight="1">
      <c r="A20" s="17" t="inlineStr">
        <is>
          <t>04/03/2026</t>
        </is>
      </c>
      <c r="B20" s="18" t="inlineStr">
        <is>
          <t>Emiliano Castro - ACME</t>
        </is>
      </c>
      <c r="C20" s="18" t="inlineStr">
        <is>
          <t>Regulador - RM-042N-220 - 4 KVA - Bifásico - 220 V</t>
        </is>
      </c>
      <c r="D20" s="19" t="n">
        <v>41668.2</v>
      </c>
      <c r="E20" s="19">
        <f>D20/1.16</f>
        <v/>
      </c>
      <c r="H20" s="17" t="inlineStr">
        <is>
          <t>Marlen</t>
        </is>
      </c>
    </row>
    <row r="21" ht="15" customHeight="1">
      <c r="A21" s="17" t="inlineStr">
        <is>
          <t>04/03/2026</t>
        </is>
      </c>
      <c r="B21" s="18" t="inlineStr">
        <is>
          <t>Emiliano Castro - ACME</t>
        </is>
      </c>
      <c r="C21" s="18" t="inlineStr">
        <is>
          <t>Regulador - RM-042N-220 - 4 KVA - Bifásico - 220 V</t>
        </is>
      </c>
      <c r="D21" s="19" t="n">
        <v>47291.04</v>
      </c>
      <c r="E21" s="19">
        <f>D21/1.16</f>
        <v/>
      </c>
      <c r="H21" s="17" t="inlineStr">
        <is>
          <t>Marlen</t>
        </is>
      </c>
    </row>
    <row r="22" ht="15" customHeight="1">
      <c r="A22" s="17" t="inlineStr">
        <is>
          <t>05/03/2026</t>
        </is>
      </c>
      <c r="B22" s="18" t="inlineStr">
        <is>
          <t>Roman - OFFICE DEPOT</t>
        </is>
      </c>
      <c r="C22" s="18" t="inlineStr">
        <is>
          <t>Regulador - RM-042N-220 - 4 KVA - Bifásico - 220 V</t>
        </is>
      </c>
      <c r="D22" s="19" t="n">
        <v>47291.04</v>
      </c>
      <c r="E22" s="19">
        <f>D22/1.16</f>
        <v/>
      </c>
      <c r="H22" s="17" t="inlineStr">
        <is>
          <t>Hugo</t>
        </is>
      </c>
    </row>
    <row r="23" ht="15" customHeight="1">
      <c r="A23" t="inlineStr">
        <is>
          <t>06/03/2026</t>
        </is>
      </c>
      <c r="B23" s="5" t="inlineStr">
        <is>
          <t>Elizabeth - ACURA</t>
        </is>
      </c>
      <c r="C23" s="5" t="inlineStr">
        <is>
          <t>Regulador - RM-042N-220 - 4 KVA - Bifásico - 220 V</t>
        </is>
      </c>
      <c r="D23" s="6" t="n">
        <v>47291.04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06/03/2026</t>
        </is>
      </c>
      <c r="B24" s="5" t="inlineStr">
        <is>
          <t>Roman - OFFICE DEPOT</t>
        </is>
      </c>
      <c r="C24" s="5" t="inlineStr">
        <is>
          <t>Regulador - RM-063-460 - 6 KVA - Trifásico - 460 V</t>
        </is>
      </c>
      <c r="D24" s="6" t="n">
        <v>47291.04</v>
      </c>
      <c r="E24" s="6">
        <f>D24/1.16</f>
        <v/>
      </c>
      <c r="H24" t="inlineStr">
        <is>
          <t>Hugo</t>
        </is>
      </c>
    </row>
    <row r="25" ht="15" customHeight="1">
      <c r="A25" t="inlineStr">
        <is>
          <t>06/03/2026</t>
        </is>
      </c>
      <c r="B25" s="5" t="inlineStr">
        <is>
          <t>Elizabeth - ACURA</t>
        </is>
      </c>
      <c r="C25" s="5" t="inlineStr">
        <is>
          <t>Regulador - RM-042N-220 - 4 KVA - Bifásico - 220 V</t>
        </is>
      </c>
      <c r="D25" s="6" t="n">
        <v>47291.04</v>
      </c>
      <c r="E25" s="6">
        <f>D25/1.16</f>
        <v/>
      </c>
      <c r="H25" t="inlineStr">
        <is>
          <t>Hugo</t>
        </is>
      </c>
    </row>
    <row r="26" ht="15" customHeight="1">
      <c r="A26" t="inlineStr">
        <is>
          <t>06/03/2026</t>
        </is>
      </c>
      <c r="B26" s="5" t="inlineStr">
        <is>
          <t>Elizabeth - ACURA</t>
        </is>
      </c>
      <c r="C26" s="5" t="inlineStr">
        <is>
          <t>Anticipo - Regulador - RM-042N-220 - 4 KVA - Bifásico - 220 V</t>
        </is>
      </c>
      <c r="D26" s="6" t="n">
        <v>23749.92</v>
      </c>
      <c r="E26" s="6">
        <f>D26/1.16</f>
        <v/>
      </c>
      <c r="H26" t="inlineStr">
        <is>
          <t>Hugo</t>
        </is>
      </c>
    </row>
    <row r="27" ht="15" customHeight="1">
      <c r="A27" t="inlineStr">
        <is>
          <t>06/03/2026</t>
        </is>
      </c>
      <c r="B27" s="5" t="inlineStr">
        <is>
          <t>Elizabeth - ACURA</t>
        </is>
      </c>
      <c r="C27" s="5" t="inlineStr">
        <is>
          <t>Anticipo - Regulador - RM-042N-220 - 4 KVA - Bifásico - 220 V</t>
        </is>
      </c>
      <c r="D27" s="6" t="n">
        <v>20000</v>
      </c>
      <c r="E27" s="6">
        <f>D27/1.16</f>
        <v/>
      </c>
      <c r="H27" t="inlineStr">
        <is>
          <t>Hugo</t>
        </is>
      </c>
    </row>
    <row r="28">
      <c r="A28" s="35" t="n"/>
      <c r="B28" s="35" t="n"/>
      <c r="C28" s="35" t="n"/>
      <c r="D28" s="36" t="inlineStr">
        <is>
          <t>TOTAL SIN IVA</t>
        </is>
      </c>
      <c r="E28" s="37">
        <f>SUM(E9:E27)</f>
        <v/>
      </c>
      <c r="F28" s="35" t="n"/>
      <c r="G28" s="35" t="n"/>
      <c r="H28" s="35" t="n"/>
    </row>
    <row r="29" ht="15" customHeight="1">
      <c r="A29" t="inlineStr">
        <is>
          <t>07/03/2026</t>
        </is>
      </c>
      <c r="B29" s="5" t="inlineStr">
        <is>
          <t>Elizabeth - ACURA</t>
        </is>
      </c>
      <c r="C29" s="5" t="inlineStr">
        <is>
          <t>RM-042N-220 - 4 kVA - Bifásico con Neutro</t>
        </is>
      </c>
      <c r="D29" s="6" t="n">
        <v>27291.04</v>
      </c>
      <c r="E29" s="6">
        <f>D29/1.16</f>
        <v/>
      </c>
      <c r="F29" s="29">
        <f>SUM(E29:E34)</f>
        <v/>
      </c>
      <c r="G29" s="8" t="inlineStr">
        <is>
          <t>Semana 2 (13-mar)</t>
        </is>
      </c>
      <c r="H29" t="inlineStr">
        <is>
          <t>Hugo</t>
        </is>
      </c>
    </row>
    <row r="30" ht="15" customHeight="1">
      <c r="A30" t="inlineStr">
        <is>
          <t>09/03/2026</t>
        </is>
      </c>
      <c r="B30" s="5" t="inlineStr">
        <is>
          <t>Roman - OFFICE DEPOT</t>
        </is>
      </c>
      <c r="C30" s="5" t="inlineStr">
        <is>
          <t>RM-042N-220 - 4 kVA - Bifásico con Neutro</t>
        </is>
      </c>
      <c r="D30" s="6" t="n">
        <v>23645.52</v>
      </c>
      <c r="E30" s="6">
        <f>D30/1.16</f>
        <v/>
      </c>
      <c r="H30" t="inlineStr">
        <is>
          <t>Hugo</t>
        </is>
      </c>
    </row>
    <row r="31" ht="15" customHeight="1">
      <c r="A31" t="inlineStr">
        <is>
          <t>09/03/2026</t>
        </is>
      </c>
      <c r="B31" s="5" t="inlineStr">
        <is>
          <t>Elizabeth - ACURA</t>
        </is>
      </c>
      <c r="C31" s="5" t="inlineStr">
        <is>
          <t>Anticipo - Regulador - RM-042-220 - 4 KVA - Bifásico - 220 V</t>
        </is>
      </c>
      <c r="D31" s="6" t="n">
        <v>9786.059999999999</v>
      </c>
      <c r="E31" s="6">
        <f>D31/1.16</f>
        <v/>
      </c>
      <c r="H31" t="inlineStr">
        <is>
          <t>Hugo</t>
        </is>
      </c>
    </row>
    <row r="32" ht="15" customHeight="1">
      <c r="A32" t="inlineStr">
        <is>
          <t>09/03/2026</t>
        </is>
      </c>
      <c r="B32" s="5" t="inlineStr">
        <is>
          <t>Elizabeth - ACURA</t>
        </is>
      </c>
      <c r="C32" s="5" t="inlineStr">
        <is>
          <t>RM-042-220 - 4 kVA - Bifásico sin Neutro</t>
        </is>
      </c>
      <c r="D32" s="6" t="n">
        <v>9786.059999999999</v>
      </c>
      <c r="E32" s="6">
        <f>D32/1.16</f>
        <v/>
      </c>
      <c r="H32" t="inlineStr">
        <is>
          <t>Hugo</t>
        </is>
      </c>
    </row>
    <row r="33" ht="15" customHeight="1">
      <c r="A33" t="inlineStr">
        <is>
          <t>09/03/2026</t>
        </is>
      </c>
      <c r="B33" s="5" t="inlineStr">
        <is>
          <t>Roman - OFFICE DEPOT</t>
        </is>
      </c>
      <c r="C33" s="5" t="inlineStr">
        <is>
          <t>Anticipo - Regulador - RM-041-127 - 4 KVA - Monofásico - 127 V</t>
        </is>
      </c>
      <c r="D33" s="6" t="n">
        <v>9786.059999999999</v>
      </c>
      <c r="E33" s="6">
        <f>D33/1.16</f>
        <v/>
      </c>
      <c r="H33" t="inlineStr">
        <is>
          <t>Hugo</t>
        </is>
      </c>
    </row>
    <row r="34" ht="15" customHeight="1">
      <c r="A34" t="inlineStr">
        <is>
          <t>09/03/2026</t>
        </is>
      </c>
      <c r="B34" s="5" t="inlineStr">
        <is>
          <t>Roman - OFFICE DEPOT</t>
        </is>
      </c>
      <c r="C34" s="5" t="inlineStr">
        <is>
          <t>RM-041-127 - 4 kVA - Monofásico</t>
        </is>
      </c>
      <c r="D34" s="6" t="n">
        <v>9786.059999999999</v>
      </c>
      <c r="E34" s="6">
        <f>D34/1.16</f>
        <v/>
      </c>
      <c r="H34" t="inlineStr">
        <is>
          <t>Hugo</t>
        </is>
      </c>
    </row>
    <row r="35">
      <c r="A35" s="35" t="n"/>
      <c r="B35" s="35" t="n"/>
      <c r="C35" s="35" t="n"/>
      <c r="D35" s="36" t="inlineStr">
        <is>
          <t>TOTAL SIN IVA</t>
        </is>
      </c>
      <c r="E35" s="37">
        <f>SUM(E29:E34)</f>
        <v/>
      </c>
      <c r="F35" s="35" t="n"/>
      <c r="G35" s="35" t="n"/>
      <c r="H35" s="35" t="n"/>
    </row>
    <row r="36">
      <c r="D36" s="23" t="inlineStr">
        <is>
          <t>VENTAS MARZO</t>
        </is>
      </c>
      <c r="E36" s="24">
        <f>E28+E35</f>
        <v/>
      </c>
    </row>
  </sheetData>
  <mergeCells count="16">
    <mergeCell ref="A5:A6"/>
    <mergeCell ref="G5:G6"/>
    <mergeCell ref="A3:H3"/>
    <mergeCell ref="H5:H6"/>
    <mergeCell ref="G9:G27"/>
    <mergeCell ref="F9:F27"/>
    <mergeCell ref="A2:H2"/>
    <mergeCell ref="D5:E5"/>
    <mergeCell ref="J9:K9"/>
    <mergeCell ref="G29:G34"/>
    <mergeCell ref="J10:K11"/>
    <mergeCell ref="F29:F34"/>
    <mergeCell ref="F5:F6"/>
    <mergeCell ref="A8:H8"/>
    <mergeCell ref="B5:B6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38" t="inlineStr">
        <is>
          <t>Comisions Mensual Equipo de Comercializacion 2026</t>
        </is>
      </c>
    </row>
    <row r="2">
      <c r="A2" s="39" t="inlineStr">
        <is>
          <t>Reguladores Electrónicos, Equipos de EC, UPS, No Breaks, Plantas, Transformadores, Instalaciones</t>
        </is>
      </c>
    </row>
    <row r="4" ht="21" customHeight="1">
      <c r="A4" s="40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1" t="inlineStr">
        <is>
          <t>Fecha</t>
        </is>
      </c>
      <c r="B5" s="41" t="inlineStr">
        <is>
          <t>Cliente</t>
        </is>
      </c>
      <c r="C5" s="41" t="inlineStr">
        <is>
          <t>Concepto</t>
        </is>
      </c>
      <c r="D5" s="41" t="inlineStr">
        <is>
          <t>Deposito</t>
        </is>
      </c>
      <c r="E5" s="3" t="n"/>
      <c r="F5" s="41" t="inlineStr">
        <is>
          <t>Precio Proveedor</t>
        </is>
      </c>
      <c r="G5" s="3" t="n"/>
      <c r="H5" s="42" t="inlineStr">
        <is>
          <t>Base para
Comisión</t>
        </is>
      </c>
      <c r="I5" s="42" t="inlineStr">
        <is>
          <t>Comision</t>
        </is>
      </c>
      <c r="J5" s="42" t="inlineStr">
        <is>
          <t>Vendedor</t>
        </is>
      </c>
    </row>
    <row r="6">
      <c r="A6" s="3" t="n"/>
      <c r="B6" s="3" t="n"/>
      <c r="C6" s="3" t="n"/>
      <c r="D6" s="41" t="inlineStr">
        <is>
          <t>Con IVA</t>
        </is>
      </c>
      <c r="E6" s="41" t="inlineStr">
        <is>
          <t>Sin IVA</t>
        </is>
      </c>
      <c r="F6" s="41" t="inlineStr">
        <is>
          <t>Con IVA</t>
        </is>
      </c>
      <c r="G6" s="41" t="inlineStr">
        <is>
          <t>Sin IVA</t>
        </is>
      </c>
      <c r="H6" s="3" t="n"/>
      <c r="I6" s="3" t="n"/>
      <c r="J6" s="3" t="n"/>
    </row>
    <row r="7">
      <c r="A7" s="43" t="inlineStr">
        <is>
          <t>04/03/2026</t>
        </is>
      </c>
      <c r="B7" s="44" t="inlineStr">
        <is>
          <t>Elizabeth - ACURA</t>
        </is>
      </c>
      <c r="C7" s="44" t="inlineStr">
        <is>
          <t>UPS - UPS-1000VA - 1000VA - 1000 V</t>
        </is>
      </c>
      <c r="D7" s="45" t="n">
        <v>8352</v>
      </c>
      <c r="E7" s="45">
        <f>D7/1.16</f>
        <v/>
      </c>
      <c r="F7" s="45" t="n">
        <v>5000</v>
      </c>
      <c r="G7" s="45">
        <f>F7/1.16</f>
        <v/>
      </c>
      <c r="H7" s="45">
        <f>E7-G7</f>
        <v/>
      </c>
      <c r="I7" s="45">
        <f>H7*0.05</f>
        <v/>
      </c>
      <c r="J7" s="46" t="inlineStr">
        <is>
          <t>Hugo</t>
        </is>
      </c>
    </row>
    <row r="8">
      <c r="A8" s="47" t="n"/>
      <c r="B8" s="47" t="n"/>
      <c r="C8" s="47" t="n"/>
      <c r="D8" s="47" t="n"/>
      <c r="E8" s="47" t="n"/>
      <c r="F8" s="47" t="n"/>
      <c r="G8" s="47" t="n"/>
      <c r="H8" s="48" t="inlineStr">
        <is>
          <t>TOTAL</t>
        </is>
      </c>
      <c r="I8" s="49">
        <f>SUM(I7:I7)</f>
        <v/>
      </c>
      <c r="J8" s="50" t="n"/>
    </row>
    <row r="9">
      <c r="A9" s="51" t="inlineStr">
        <is>
          <t>04/03/2026</t>
        </is>
      </c>
      <c r="B9" s="52" t="inlineStr">
        <is>
          <t>Roman - OFFICE DEPOT</t>
        </is>
      </c>
      <c r="C9" s="52" t="inlineStr">
        <is>
          <t>UPS - UPS-1000VA - 1000VA - 1000 V</t>
        </is>
      </c>
      <c r="D9" s="53" t="n">
        <v>8352</v>
      </c>
      <c r="E9" s="53">
        <f>D9/1.16</f>
        <v/>
      </c>
      <c r="F9" s="53" t="n">
        <v>5000</v>
      </c>
      <c r="G9" s="53">
        <f>F9/1.16</f>
        <v/>
      </c>
      <c r="H9" s="53">
        <f>E9-G9</f>
        <v/>
      </c>
      <c r="I9" s="53">
        <f>H9*0.1</f>
        <v/>
      </c>
      <c r="J9" s="54" t="inlineStr">
        <is>
          <t>Marlen</t>
        </is>
      </c>
    </row>
    <row r="10">
      <c r="A10" s="51" t="inlineStr">
        <is>
          <t>04/03/2026</t>
        </is>
      </c>
      <c r="B10" s="52" t="inlineStr">
        <is>
          <t>Elizabeth - ACURA</t>
        </is>
      </c>
      <c r="C10" s="52" t="inlineStr">
        <is>
          <t>Transformador - TM-040-520 - 500 VA - Monofásico - 500 V</t>
        </is>
      </c>
      <c r="D10" s="53" t="n">
        <v>11066.4</v>
      </c>
      <c r="E10" s="53">
        <f>D10/1.16</f>
        <v/>
      </c>
      <c r="F10" s="53" t="n">
        <v>5000</v>
      </c>
      <c r="G10" s="53">
        <f>F10/1.16</f>
        <v/>
      </c>
      <c r="H10" s="53">
        <f>E10-G10</f>
        <v/>
      </c>
      <c r="I10" s="53">
        <f>H10*0.1</f>
        <v/>
      </c>
      <c r="J10" s="55" t="n"/>
    </row>
    <row r="11">
      <c r="A11" s="56" t="n"/>
      <c r="B11" s="56" t="n"/>
      <c r="C11" s="56" t="n"/>
      <c r="D11" s="56" t="n"/>
      <c r="E11" s="56" t="n"/>
      <c r="F11" s="56" t="n"/>
      <c r="G11" s="56" t="n"/>
      <c r="H11" s="57" t="inlineStr">
        <is>
          <t>TOTAL</t>
        </is>
      </c>
      <c r="I11" s="58">
        <f>SUM(I9:I10)</f>
        <v/>
      </c>
      <c r="J11" s="50" t="n"/>
    </row>
  </sheetData>
  <mergeCells count="13">
    <mergeCell ref="A5:A6"/>
    <mergeCell ref="A1:J1"/>
    <mergeCell ref="H5:H6"/>
    <mergeCell ref="J9:J11"/>
    <mergeCell ref="J5:J6"/>
    <mergeCell ref="F5:G5"/>
    <mergeCell ref="D5:E5"/>
    <mergeCell ref="A4:J4"/>
    <mergeCell ref="A2:J2"/>
    <mergeCell ref="J7:J8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2026-03-09T20:58:22Z</dcterms:created>
  <dcterms:modified xsi:type="dcterms:W3CDTF">2026-03-09T20:58:22Z</dcterms:modified>
</cp:coreProperties>
</file>