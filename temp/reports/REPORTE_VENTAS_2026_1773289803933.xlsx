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SUMIF(H8:H32,J10,E8:E32)</f>
        <v/>
      </c>
      <c r="L10" s="14">
        <f>K10/E$33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SUMIF(H8:H32,J11,E8:E32)</f>
        <v/>
      </c>
      <c r="L11" s="14">
        <f>K11/E$33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E33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SUM(E19:E31)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Anticipo - Regulador - RM-042N-220 - 4 KVA - Bifásico + UPS - UPS-1000VA - 1000VA</t>
        </is>
      </c>
      <c r="D28" s="6" t="n">
        <v>28343.52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Emiliano Castro - ACME</t>
        </is>
      </c>
      <c r="C29" s="5" t="inlineStr">
        <is>
          <t>Saldo - Regulador - RM-042N-220 - 4 KVA - Bifásico + UPS - UPS-1000VA - 1000VA</t>
        </is>
      </c>
      <c r="D29" s="6" t="n">
        <v>28343.52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Emiliano Castro - ACME</t>
        </is>
      </c>
      <c r="C30" s="5" t="inlineStr">
        <is>
          <t>Anticipo - Regulador - RM-042N-220 - 4 KVA - Bifásico + UPS - UPS-1000VA - 1000VA</t>
        </is>
      </c>
      <c r="D30" s="6" t="n">
        <v>28343.52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11/03/2026</t>
        </is>
      </c>
      <c r="B31" s="5" t="inlineStr">
        <is>
          <t>Emiliano Castro - ACME</t>
        </is>
      </c>
      <c r="C31" s="5" t="inlineStr">
        <is>
          <t>Saldo - Regulador - RM-042N-220 - 4 KVA - Bifásico + UPS - UPS-1000VA - 1000VA</t>
        </is>
      </c>
      <c r="D31" s="6" t="n">
        <v>28343.52</v>
      </c>
      <c r="E31" s="6">
        <f>D31/1.16</f>
        <v/>
      </c>
      <c r="H31" t="inlineStr">
        <is>
          <t>Hugo</t>
        </is>
      </c>
    </row>
    <row r="32">
      <c r="A32" s="22" t="n"/>
      <c r="B32" s="22" t="n"/>
      <c r="C32" s="22" t="n"/>
      <c r="D32" s="23" t="inlineStr">
        <is>
          <t>TOTAL SIN IVA</t>
        </is>
      </c>
      <c r="E32" s="24">
        <f>SUM(E19:E31)</f>
        <v/>
      </c>
      <c r="F32" s="22" t="n"/>
      <c r="G32" s="22" t="n"/>
      <c r="H32" s="22" t="n"/>
    </row>
    <row r="33">
      <c r="D33" s="27" t="inlineStr">
        <is>
          <t>VENTAS MARZO</t>
        </is>
      </c>
      <c r="E33" s="28">
        <f>E18+E32</f>
        <v/>
      </c>
    </row>
  </sheetData>
  <mergeCells count="14">
    <mergeCell ref="A5:A6"/>
    <mergeCell ref="G5:G6"/>
    <mergeCell ref="F8:F17"/>
    <mergeCell ref="H5:H6"/>
    <mergeCell ref="F19:F31"/>
    <mergeCell ref="A7:H7"/>
    <mergeCell ref="A2:H2"/>
    <mergeCell ref="D5:E5"/>
    <mergeCell ref="G8:G17"/>
    <mergeCell ref="J8:L8"/>
    <mergeCell ref="F5:F6"/>
    <mergeCell ref="G19:G31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E30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SUM(E17:E28)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8886.24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Anticipo - Regulador - RM-042N-220 - 4 KVA - Bifásico</t>
        </is>
      </c>
      <c r="D25" s="6" t="n">
        <v>20834.1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Emiliano Castro - ACME</t>
        </is>
      </c>
      <c r="C26" s="5" t="inlineStr">
        <is>
          <t>Saldo - Regulador - RM-042N-220 - 4 KVA - Bifásico</t>
        </is>
      </c>
      <c r="D26" s="6" t="n">
        <v>2314.9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Emiliano Castro - ACME</t>
        </is>
      </c>
      <c r="C27" s="5" t="inlineStr">
        <is>
          <t>Anticipo - Regulador - RM-042N-220 - 4 KVA - Bifásico</t>
        </is>
      </c>
      <c r="D27" s="6" t="n">
        <v>20834.1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Saldo - Regulador - RM-042N-220 - 4 KVA - Bifásico</t>
        </is>
      </c>
      <c r="D28" s="6" t="n">
        <v>2314.9</v>
      </c>
      <c r="E28" s="6">
        <f>D28/1.16</f>
        <v/>
      </c>
      <c r="H28" t="inlineStr">
        <is>
          <t>Hugo</t>
        </is>
      </c>
    </row>
    <row r="29">
      <c r="A29" s="39" t="n"/>
      <c r="B29" s="39" t="n"/>
      <c r="C29" s="39" t="n"/>
      <c r="D29" s="40" t="inlineStr">
        <is>
          <t>TOTAL SIN IVA</t>
        </is>
      </c>
      <c r="E29" s="41">
        <f>SUM(E17:E28)</f>
        <v/>
      </c>
      <c r="F29" s="39" t="n"/>
      <c r="G29" s="39" t="n"/>
      <c r="H29" s="39" t="n"/>
    </row>
    <row r="30">
      <c r="D30" s="27" t="inlineStr">
        <is>
          <t>VENTAS MARZO</t>
        </is>
      </c>
      <c r="E30" s="28">
        <f>E16+E29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28"/>
    <mergeCell ref="A2:H2"/>
    <mergeCell ref="D5:E5"/>
    <mergeCell ref="J9:K9"/>
    <mergeCell ref="G17:G28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8352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56687.04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56687.04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8352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28968.12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14484.06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14484.06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48" t="inlineStr">
        <is>
          <t>11/03/2026</t>
        </is>
      </c>
      <c r="B14" s="49" t="inlineStr">
        <is>
          <t>Emiliano Castro - ACME</t>
        </is>
      </c>
      <c r="C14" s="49" t="inlineStr">
        <is>
          <t>Anticipo - UPS - UPS-1000VA - 1000VA</t>
        </is>
      </c>
      <c r="D14" s="50" t="n">
        <v>28343.52</v>
      </c>
      <c r="E14" s="50">
        <f>D14/1.16</f>
        <v/>
      </c>
      <c r="F14" s="50" t="n">
        <v>4500</v>
      </c>
      <c r="G14" s="50">
        <f>F14/1.16</f>
        <v/>
      </c>
      <c r="H14" s="50">
        <f>E14-G14</f>
        <v/>
      </c>
      <c r="I14" s="50">
        <f>H14*0.05</f>
        <v/>
      </c>
      <c r="J14" s="10" t="n"/>
    </row>
    <row r="15">
      <c r="A15" s="48" t="inlineStr">
        <is>
          <t>11/03/2026</t>
        </is>
      </c>
      <c r="B15" s="49" t="inlineStr">
        <is>
          <t>Emiliano Castro - ACME</t>
        </is>
      </c>
      <c r="C15" s="49" t="inlineStr">
        <is>
          <t>Saldo - UPS - UPS-1000VA - 1000VA</t>
        </is>
      </c>
      <c r="D15" s="50" t="n">
        <v>28343.52</v>
      </c>
      <c r="E15" s="50">
        <f>D15/1.16</f>
        <v/>
      </c>
      <c r="F15" s="50" t="n">
        <v>4500</v>
      </c>
      <c r="G15" s="50">
        <f>F15/1.16</f>
        <v/>
      </c>
      <c r="H15" s="50">
        <f>E15-G15</f>
        <v/>
      </c>
      <c r="I15" s="50">
        <f>H15*0.05</f>
        <v/>
      </c>
      <c r="J15" s="10" t="n"/>
    </row>
    <row r="16">
      <c r="A16" s="48" t="inlineStr">
        <is>
          <t>11/03/2026</t>
        </is>
      </c>
      <c r="B16" s="49" t="inlineStr">
        <is>
          <t>Emiliano Castro - ACME</t>
        </is>
      </c>
      <c r="C16" s="49" t="inlineStr">
        <is>
          <t>Anticipo - UPS - UPS-1000VA - 1000VA</t>
        </is>
      </c>
      <c r="D16" s="50" t="n">
        <v>28343.52</v>
      </c>
      <c r="E16" s="50">
        <f>D16/1.16</f>
        <v/>
      </c>
      <c r="F16" s="50" t="n">
        <v>4500</v>
      </c>
      <c r="G16" s="50">
        <f>F16/1.16</f>
        <v/>
      </c>
      <c r="H16" s="50">
        <f>E16-G16</f>
        <v/>
      </c>
      <c r="I16" s="50">
        <f>H16*0.05</f>
        <v/>
      </c>
      <c r="J16" s="10" t="n"/>
    </row>
    <row r="17">
      <c r="A17" s="48" t="inlineStr">
        <is>
          <t>11/03/2026</t>
        </is>
      </c>
      <c r="B17" s="49" t="inlineStr">
        <is>
          <t>Emiliano Castro - ACME</t>
        </is>
      </c>
      <c r="C17" s="49" t="inlineStr">
        <is>
          <t>Saldo - UPS - UPS-1000VA - 1000VA</t>
        </is>
      </c>
      <c r="D17" s="50" t="n">
        <v>28343.52</v>
      </c>
      <c r="E17" s="50">
        <f>D17/1.16</f>
        <v/>
      </c>
      <c r="F17" s="50" t="n">
        <v>4500</v>
      </c>
      <c r="G17" s="50">
        <f>F17/1.16</f>
        <v/>
      </c>
      <c r="H17" s="50">
        <f>E17-G17</f>
        <v/>
      </c>
      <c r="I17" s="50">
        <f>H17*0.05</f>
        <v/>
      </c>
      <c r="J17" s="10" t="n"/>
    </row>
    <row r="18">
      <c r="A18" s="52" t="n"/>
      <c r="B18" s="52" t="n"/>
      <c r="C18" s="52" t="n"/>
      <c r="D18" s="52" t="n"/>
      <c r="E18" s="52" t="n"/>
      <c r="F18" s="52" t="n"/>
      <c r="G18" s="52" t="n"/>
      <c r="H18" s="53" t="inlineStr">
        <is>
          <t>TOTAL</t>
        </is>
      </c>
      <c r="I18" s="54">
        <f>SUM(I7:I17)</f>
        <v/>
      </c>
      <c r="J18" s="21" t="n"/>
    </row>
    <row r="19">
      <c r="A19" s="55" t="inlineStr">
        <is>
          <t>04/03/2026</t>
        </is>
      </c>
      <c r="B19" s="56" t="inlineStr">
        <is>
          <t>Roman - OFFICE DEPOT</t>
        </is>
      </c>
      <c r="C19" s="56" t="inlineStr">
        <is>
          <t>UPS-1000VA - 1000VA</t>
        </is>
      </c>
      <c r="D19" s="57" t="n">
        <v>8352</v>
      </c>
      <c r="E19" s="57">
        <f>D19/1.16</f>
        <v/>
      </c>
      <c r="F19" s="57" t="n">
        <v>0</v>
      </c>
      <c r="G19" s="57">
        <f>F19/1.16</f>
        <v/>
      </c>
      <c r="H19" s="57">
        <f>E19-G19</f>
        <v/>
      </c>
      <c r="I19" s="57">
        <f>H19*0.1</f>
        <v/>
      </c>
      <c r="J19" s="58" t="inlineStr">
        <is>
          <t>Marlen</t>
        </is>
      </c>
    </row>
    <row r="20">
      <c r="A20" s="59" t="n"/>
      <c r="B20" s="59" t="n"/>
      <c r="C20" s="59" t="n"/>
      <c r="D20" s="59" t="n"/>
      <c r="E20" s="59" t="n"/>
      <c r="F20" s="59" t="n"/>
      <c r="G20" s="59" t="n"/>
      <c r="H20" s="60" t="inlineStr">
        <is>
          <t>TOTAL</t>
        </is>
      </c>
      <c r="I20" s="61">
        <f>SUM(I19:I19)</f>
        <v/>
      </c>
      <c r="J20" s="21" t="n"/>
    </row>
  </sheetData>
  <mergeCells count="13">
    <mergeCell ref="A5:A6"/>
    <mergeCell ref="A1:J1"/>
    <mergeCell ref="H5:H6"/>
    <mergeCell ref="J5:J6"/>
    <mergeCell ref="J19:J20"/>
    <mergeCell ref="F5:G5"/>
    <mergeCell ref="D5:E5"/>
    <mergeCell ref="A4:J4"/>
    <mergeCell ref="J7:J18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2026-03-12T04:30:04Z</dcterms:created>
  <dcterms:modified xsi:type="dcterms:W3CDTF">2026-03-12T04:30:04Z</dcterms:modified>
</cp:coreProperties>
</file>