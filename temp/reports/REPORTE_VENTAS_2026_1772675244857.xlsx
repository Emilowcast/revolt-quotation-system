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7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4" fontId="11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1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vertical="top" wrapText="1"/>
    </xf>
    <xf numFmtId="164" fontId="7" fillId="13" borderId="1" pivotButton="0" quotePrefix="0" xfId="0"/>
    <xf numFmtId="0" fontId="4" fillId="13" borderId="1" applyAlignment="1" pivotButton="0" quotePrefix="0" xfId="0">
      <alignment horizontal="center" vertical="center"/>
    </xf>
    <xf numFmtId="0" fontId="0" fillId="14" borderId="1" pivotButton="0" quotePrefix="0" xfId="0"/>
    <xf numFmtId="0" fontId="4" fillId="14" borderId="1" applyAlignment="1" pivotButton="0" quotePrefix="0" xfId="0">
      <alignment horizontal="right" vertical="center"/>
    </xf>
    <xf numFmtId="164" fontId="4" fillId="14" borderId="1" pivotButton="0" quotePrefix="0" xfId="0"/>
    <xf numFmtId="0" fontId="0" fillId="0" borderId="2" pivotButton="0" quotePrefix="0" xfId="0"/>
    <xf numFmtId="0" fontId="7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vertical="top" wrapText="1"/>
    </xf>
    <xf numFmtId="164" fontId="7" fillId="15" borderId="1" pivotButton="0" quotePrefix="0" xfId="0"/>
    <xf numFmtId="0" fontId="4" fillId="15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6" borderId="1" pivotButton="0" quotePrefix="0" xfId="0"/>
    <xf numFmtId="0" fontId="4" fillId="16" borderId="1" applyAlignment="1" pivotButton="0" quotePrefix="0" xfId="0">
      <alignment horizontal="right" vertical="center"/>
    </xf>
    <xf numFmtId="164" fontId="4" fillId="1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SUM(E8:E21)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SUMIF(H8:H22,J10,E8:E22)</f>
        <v/>
      </c>
      <c r="L10" s="13">
        <f>K10/E$23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SUMIF(H8:H22,J11,E8:E22)</f>
        <v/>
      </c>
      <c r="L11" s="13">
        <f>K11/E$23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E23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t="inlineStr">
        <is>
          <t>04/03/2026</t>
        </is>
      </c>
      <c r="B20" s="5" t="inlineStr">
        <is>
          <t>Brandon Castro - REDTEAM</t>
        </is>
      </c>
      <c r="C20" s="5" t="inlineStr">
        <is>
          <t>RM-042N-220 - 4 KVA - Bifásico - 220 V</t>
        </is>
      </c>
      <c r="D20" s="6" t="n">
        <v>47291.04</v>
      </c>
      <c r="E20" s="6">
        <f>D20/1.16</f>
        <v/>
      </c>
      <c r="H20" t="inlineStr">
        <is>
          <t>Marlen</t>
        </is>
      </c>
    </row>
    <row r="21" ht="15" customHeight="1">
      <c r="A21" t="inlineStr">
        <is>
          <t>04/03/2026</t>
        </is>
      </c>
      <c r="B21" s="5" t="inlineStr">
        <is>
          <t>Brandon Castro - REDTEAM</t>
        </is>
      </c>
      <c r="C21" s="5" t="inlineStr">
        <is>
          <t>RM-042N-220 - 4 KVA - Bifásico - 220 V</t>
        </is>
      </c>
      <c r="D21" s="6" t="n">
        <v>47291.04</v>
      </c>
      <c r="E21" s="6">
        <f>D21/1.16</f>
        <v/>
      </c>
      <c r="H21" t="inlineStr">
        <is>
          <t>Marlen</t>
        </is>
      </c>
    </row>
    <row r="22">
      <c r="A22" s="17" t="n"/>
      <c r="B22" s="17" t="n"/>
      <c r="C22" s="17" t="n"/>
      <c r="D22" s="18" t="inlineStr">
        <is>
          <t>TOTAL SIN IVA</t>
        </is>
      </c>
      <c r="E22" s="19">
        <f>SUM(E8:E21)</f>
        <v/>
      </c>
      <c r="F22" s="17" t="n"/>
      <c r="G22" s="17" t="n"/>
      <c r="H22" s="17" t="n"/>
    </row>
    <row r="23">
      <c r="D23" s="20" t="inlineStr">
        <is>
          <t>VENTAS MARZO</t>
        </is>
      </c>
      <c r="E23" s="21">
        <f>E22</f>
        <v/>
      </c>
    </row>
  </sheetData>
  <mergeCells count="12">
    <mergeCell ref="A5:A6"/>
    <mergeCell ref="G5:G6"/>
    <mergeCell ref="H5:H6"/>
    <mergeCell ref="A7:H7"/>
    <mergeCell ref="A2:H2"/>
    <mergeCell ref="G8:G21"/>
    <mergeCell ref="D5:E5"/>
    <mergeCell ref="F8:F21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2" t="inlineStr">
        <is>
          <t>Comisiones Anual 2026</t>
        </is>
      </c>
    </row>
    <row r="3">
      <c r="A3" s="23" t="inlineStr">
        <is>
          <t>Reguladores Electromecánicos, Reparaciones y Mantenimientos</t>
        </is>
      </c>
    </row>
    <row r="4"/>
    <row r="5">
      <c r="A5" s="24" t="inlineStr">
        <is>
          <t>Fecha</t>
        </is>
      </c>
      <c r="B5" s="24" t="inlineStr">
        <is>
          <t>Cliente</t>
        </is>
      </c>
      <c r="C5" s="24" t="inlineStr">
        <is>
          <t>Concepto</t>
        </is>
      </c>
      <c r="D5" s="24" t="inlineStr">
        <is>
          <t>DEPÓSITO</t>
        </is>
      </c>
      <c r="E5" s="3" t="n"/>
      <c r="F5" s="24" t="inlineStr">
        <is>
          <t>Total</t>
        </is>
      </c>
      <c r="G5" s="24" t="inlineStr">
        <is>
          <t>Semana</t>
        </is>
      </c>
      <c r="H5" s="24" t="inlineStr">
        <is>
          <t>Vendedor</t>
        </is>
      </c>
    </row>
    <row r="6">
      <c r="A6" s="3" t="n"/>
      <c r="B6" s="3" t="n"/>
      <c r="C6" s="3" t="n"/>
      <c r="D6" s="24" t="inlineStr">
        <is>
          <t>Con IVA</t>
        </is>
      </c>
      <c r="E6" s="24" t="inlineStr">
        <is>
          <t>Sin IVA</t>
        </is>
      </c>
      <c r="F6" s="3" t="n"/>
      <c r="G6" s="3" t="n"/>
      <c r="H6" s="3" t="n"/>
    </row>
    <row r="7"/>
    <row r="8" ht="30" customHeight="1">
      <c r="A8" s="25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26">
        <f>SUM(E9:E19)</f>
        <v/>
      </c>
      <c r="G9" s="8" t="inlineStr">
        <is>
          <t>Semana 1 (06-mar)</t>
        </is>
      </c>
      <c r="H9" t="inlineStr">
        <is>
          <t>Hugo</t>
        </is>
      </c>
      <c r="J9" s="27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28">
        <f>E21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29" t="inlineStr">
        <is>
          <t>Vendedor</t>
        </is>
      </c>
      <c r="K12" s="29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0" t="inlineStr">
        <is>
          <t>Hugo</t>
        </is>
      </c>
      <c r="K13" s="31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0" t="inlineStr">
        <is>
          <t>Marlen</t>
        </is>
      </c>
      <c r="K14" s="31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Brandon Castro - REDTEAM</t>
        </is>
      </c>
      <c r="C18" s="5" t="inlineStr">
        <is>
          <t>RM-042N-220 - 4 KVA - Bifásico - 220 V</t>
        </is>
      </c>
      <c r="D18" s="6" t="n">
        <v>47291.04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Brandon Castro - REDTEAM</t>
        </is>
      </c>
      <c r="C19" s="5" t="inlineStr">
        <is>
          <t>RM-042N-220 - 4 KVA - Bifásico - 220 V</t>
        </is>
      </c>
      <c r="D19" s="6" t="n">
        <v>47291.04</v>
      </c>
      <c r="E19" s="6">
        <f>D19/1.16</f>
        <v/>
      </c>
      <c r="H19" t="inlineStr">
        <is>
          <t>Marlen</t>
        </is>
      </c>
    </row>
    <row r="20">
      <c r="A20" s="32" t="n"/>
      <c r="B20" s="32" t="n"/>
      <c r="C20" s="32" t="n"/>
      <c r="D20" s="33" t="inlineStr">
        <is>
          <t>TOTAL SIN IVA</t>
        </is>
      </c>
      <c r="E20" s="34">
        <f>SUM(E9:E19)</f>
        <v/>
      </c>
      <c r="F20" s="32" t="n"/>
      <c r="G20" s="32" t="n"/>
      <c r="H20" s="32" t="n"/>
    </row>
    <row r="21">
      <c r="D21" s="20" t="inlineStr">
        <is>
          <t>VENTAS MARZO</t>
        </is>
      </c>
      <c r="E21" s="21">
        <f>E20</f>
        <v/>
      </c>
    </row>
  </sheetData>
  <mergeCells count="14">
    <mergeCell ref="A5:A6"/>
    <mergeCell ref="G5:G6"/>
    <mergeCell ref="A3:H3"/>
    <mergeCell ref="H5:H6"/>
    <mergeCell ref="F9:F19"/>
    <mergeCell ref="A2:H2"/>
    <mergeCell ref="D5:E5"/>
    <mergeCell ref="J9:K9"/>
    <mergeCell ref="J10:K11"/>
    <mergeCell ref="F5:F6"/>
    <mergeCell ref="A8:H8"/>
    <mergeCell ref="B5:B6"/>
    <mergeCell ref="G9:G19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5" t="inlineStr">
        <is>
          <t>Comisions Mensual Equipo de Comercializacion 2026</t>
        </is>
      </c>
    </row>
    <row r="2">
      <c r="A2" s="36" t="inlineStr">
        <is>
          <t>Reguladores Electrónicos, Equipos de EC, UPS, No Breaks, Plantas, Transformadores, Instalaciones</t>
        </is>
      </c>
    </row>
    <row r="4" ht="21" customHeight="1">
      <c r="A4" s="37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8" t="inlineStr">
        <is>
          <t>Fecha</t>
        </is>
      </c>
      <c r="B5" s="38" t="inlineStr">
        <is>
          <t>Cliente</t>
        </is>
      </c>
      <c r="C5" s="38" t="inlineStr">
        <is>
          <t>Concepto</t>
        </is>
      </c>
      <c r="D5" s="38" t="inlineStr">
        <is>
          <t>Deposito</t>
        </is>
      </c>
      <c r="E5" s="3" t="n"/>
      <c r="F5" s="38" t="inlineStr">
        <is>
          <t>Precio Proveedor</t>
        </is>
      </c>
      <c r="G5" s="3" t="n"/>
      <c r="H5" s="39" t="inlineStr">
        <is>
          <t>Base para
Comisión</t>
        </is>
      </c>
      <c r="I5" s="39" t="inlineStr">
        <is>
          <t>Comision</t>
        </is>
      </c>
      <c r="J5" s="39" t="inlineStr">
        <is>
          <t>Vendedor</t>
        </is>
      </c>
    </row>
    <row r="6">
      <c r="A6" s="3" t="n"/>
      <c r="B6" s="3" t="n"/>
      <c r="C6" s="3" t="n"/>
      <c r="D6" s="38" t="inlineStr">
        <is>
          <t>Con IVA</t>
        </is>
      </c>
      <c r="E6" s="38" t="inlineStr">
        <is>
          <t>Sin IVA</t>
        </is>
      </c>
      <c r="F6" s="38" t="inlineStr">
        <is>
          <t>Con IVA</t>
        </is>
      </c>
      <c r="G6" s="38" t="inlineStr">
        <is>
          <t>Sin IVA</t>
        </is>
      </c>
      <c r="H6" s="3" t="n"/>
      <c r="I6" s="3" t="n"/>
      <c r="J6" s="3" t="n"/>
    </row>
    <row r="7">
      <c r="A7" s="40" t="inlineStr">
        <is>
          <t>04/03/2026</t>
        </is>
      </c>
      <c r="B7" s="41" t="inlineStr">
        <is>
          <t>Elizabeth - ACURA</t>
        </is>
      </c>
      <c r="C7" s="41" t="inlineStr">
        <is>
          <t>UPS - UPS-1000VA - 1000VA - 1000 V</t>
        </is>
      </c>
      <c r="D7" s="42" t="n">
        <v>8352</v>
      </c>
      <c r="E7" s="42">
        <f>D7/1.16</f>
        <v/>
      </c>
      <c r="F7" s="42" t="n">
        <v>5000</v>
      </c>
      <c r="G7" s="42">
        <f>F7/1.16</f>
        <v/>
      </c>
      <c r="H7" s="42">
        <f>E7-G7</f>
        <v/>
      </c>
      <c r="I7" s="42">
        <f>H7*0.05</f>
        <v/>
      </c>
      <c r="J7" s="43" t="inlineStr">
        <is>
          <t>Hugo</t>
        </is>
      </c>
    </row>
    <row r="8">
      <c r="A8" s="44" t="n"/>
      <c r="B8" s="44" t="n"/>
      <c r="C8" s="44" t="n"/>
      <c r="D8" s="44" t="n"/>
      <c r="E8" s="44" t="n"/>
      <c r="F8" s="44" t="n"/>
      <c r="G8" s="44" t="n"/>
      <c r="H8" s="45" t="inlineStr">
        <is>
          <t>TOTAL</t>
        </is>
      </c>
      <c r="I8" s="46">
        <f>SUM(I7:I7)</f>
        <v/>
      </c>
      <c r="J8" s="47" t="n"/>
    </row>
    <row r="9">
      <c r="A9" s="48" t="inlineStr">
        <is>
          <t>04/03/2026</t>
        </is>
      </c>
      <c r="B9" s="49" t="inlineStr">
        <is>
          <t>Roman - OFFICE DEPOT</t>
        </is>
      </c>
      <c r="C9" s="49" t="inlineStr">
        <is>
          <t>UPS - UPS-1000VA - 1000VA - 1000 V</t>
        </is>
      </c>
      <c r="D9" s="50" t="n">
        <v>8352</v>
      </c>
      <c r="E9" s="50">
        <f>D9/1.16</f>
        <v/>
      </c>
      <c r="F9" s="50" t="n">
        <v>5000</v>
      </c>
      <c r="G9" s="50">
        <f>F9/1.16</f>
        <v/>
      </c>
      <c r="H9" s="50">
        <f>E9-G9</f>
        <v/>
      </c>
      <c r="I9" s="50">
        <f>H9*0.1</f>
        <v/>
      </c>
      <c r="J9" s="51" t="inlineStr">
        <is>
          <t>Marlen</t>
        </is>
      </c>
    </row>
    <row r="10">
      <c r="A10" s="48" t="inlineStr">
        <is>
          <t>04/03/2026</t>
        </is>
      </c>
      <c r="B10" s="49" t="inlineStr">
        <is>
          <t>Elizabeth - ACURA</t>
        </is>
      </c>
      <c r="C10" s="49" t="inlineStr">
        <is>
          <t>Transformador - TM-040-520 - 500 VA - Monofásico - 500 V</t>
        </is>
      </c>
      <c r="D10" s="50" t="n">
        <v>11066.4</v>
      </c>
      <c r="E10" s="50">
        <f>D10/1.16</f>
        <v/>
      </c>
      <c r="F10" s="50" t="n">
        <v>5000</v>
      </c>
      <c r="G10" s="50">
        <f>F10/1.16</f>
        <v/>
      </c>
      <c r="H10" s="50">
        <f>E10-G10</f>
        <v/>
      </c>
      <c r="I10" s="50">
        <f>H10*0.1</f>
        <v/>
      </c>
      <c r="J10" s="52" t="n"/>
    </row>
    <row r="11">
      <c r="A11" s="53" t="n"/>
      <c r="B11" s="53" t="n"/>
      <c r="C11" s="53" t="n"/>
      <c r="D11" s="53" t="n"/>
      <c r="E11" s="53" t="n"/>
      <c r="F11" s="53" t="n"/>
      <c r="G11" s="53" t="n"/>
      <c r="H11" s="54" t="inlineStr">
        <is>
          <t>TOTAL</t>
        </is>
      </c>
      <c r="I11" s="55">
        <f>SUM(I9:I10)</f>
        <v/>
      </c>
      <c r="J11" s="47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2026-03-05T01:47:25Z</dcterms:created>
  <dcterms:modified xsi:type="dcterms:W3CDTF">2026-03-05T01:47:25Z</dcterms:modified>
</cp:coreProperties>
</file>