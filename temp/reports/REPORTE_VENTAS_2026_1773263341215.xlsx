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SUM(E8:E17)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SUMIF(H8:H28,J10,E8:E28)</f>
        <v/>
      </c>
      <c r="L10" s="14">
        <f>K10/E$29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SUMIF(H8:H28,J11,E8:E28)</f>
        <v/>
      </c>
      <c r="L11" s="14">
        <f>K11/E$29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E29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Elizabeth - ACURA</t>
        </is>
      </c>
      <c r="C13" s="5" t="inlineStr">
        <is>
          <t>Regulador - RM-053-220 - 5 KVA - Trifásico</t>
        </is>
      </c>
      <c r="D13" s="6" t="n">
        <v>95626.25999999999</v>
      </c>
      <c r="E13" s="6">
        <f>D13/1.16</f>
        <v/>
      </c>
      <c r="F13" s="10" t="n"/>
      <c r="G13" s="10" t="n"/>
      <c r="H13" t="inlineStr">
        <is>
          <t>Hugo</t>
        </is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UPS-1000VA - 1000VA</t>
        </is>
      </c>
      <c r="D14" s="6" t="n">
        <v>8352</v>
      </c>
      <c r="E14" s="6">
        <f>D14/1.16</f>
        <v/>
      </c>
      <c r="F14" s="10" t="n"/>
      <c r="G14" s="10" t="n"/>
      <c r="H14" t="inlineStr">
        <is>
          <t>Hugo</t>
        </is>
      </c>
    </row>
    <row r="15" ht="15" customHeight="1">
      <c r="A15" t="inlineStr">
        <is>
          <t>04/03/2026</t>
        </is>
      </c>
      <c r="B15" s="5" t="inlineStr">
        <is>
          <t>Roman - OFFICE DEPOT</t>
        </is>
      </c>
      <c r="C15" s="5" t="inlineStr">
        <is>
          <t>UPS-1000VA - 1000VA</t>
        </is>
      </c>
      <c r="D15" s="6" t="n">
        <v>8352</v>
      </c>
      <c r="E15" s="6">
        <f>D15/1.16</f>
        <v/>
      </c>
      <c r="F15" s="10" t="n"/>
      <c r="G15" s="10" t="n"/>
      <c r="H15" t="inlineStr">
        <is>
          <t>Marlen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TM-040-520 - 500 VA - Monofásico</t>
        </is>
      </c>
      <c r="D16" s="6" t="n">
        <v>11066.4</v>
      </c>
      <c r="E16" s="6">
        <f>D16/1.16</f>
        <v/>
      </c>
      <c r="F16" s="10" t="n"/>
      <c r="G16" s="10" t="n"/>
      <c r="H16" t="inlineStr">
        <is>
          <t>Marlen</t>
        </is>
      </c>
    </row>
    <row r="17" ht="15" customHeight="1">
      <c r="A17" s="18" t="inlineStr">
        <is>
          <t>04/03/2026</t>
        </is>
      </c>
      <c r="B17" s="19" t="inlineStr">
        <is>
          <t>Brandon Castro - REDTEAM</t>
        </is>
      </c>
      <c r="C17" s="19" t="inlineStr">
        <is>
          <t>Regulador - RM-042N-220 - 4 KVA - Bifásico</t>
        </is>
      </c>
      <c r="D17" s="20" t="n">
        <v>47291.04</v>
      </c>
      <c r="E17" s="20">
        <f>D17/1.16</f>
        <v/>
      </c>
      <c r="F17" s="21" t="n"/>
      <c r="G17" s="21" t="n"/>
      <c r="H17" s="18" t="inlineStr">
        <is>
          <t>Marlen</t>
        </is>
      </c>
    </row>
    <row r="18">
      <c r="A18" s="22" t="n"/>
      <c r="B18" s="22" t="n"/>
      <c r="C18" s="22" t="n"/>
      <c r="D18" s="23" t="inlineStr">
        <is>
          <t>TOTAL SIN IVA</t>
        </is>
      </c>
      <c r="E18" s="24">
        <f>SUM(E8:E17)</f>
        <v/>
      </c>
      <c r="F18" s="22" t="n"/>
      <c r="G18" s="22" t="n"/>
      <c r="H18" s="22" t="n"/>
    </row>
    <row r="19" ht="15" customHeight="1">
      <c r="A19" t="inlineStr">
        <is>
          <t>09/03/2026</t>
        </is>
      </c>
      <c r="B19" s="5" t="inlineStr">
        <is>
          <t>Emiliano Castro - ACME</t>
        </is>
      </c>
      <c r="C19" s="5" t="inlineStr">
        <is>
          <t>Anticipo - Regulador - RM-042-220 - 4 KVA - Bifásico</t>
        </is>
      </c>
      <c r="D19" s="6" t="n">
        <v>9786.059999999999</v>
      </c>
      <c r="E19" s="6">
        <f>D19/1.16</f>
        <v/>
      </c>
      <c r="F19" s="25">
        <f>SUM(E19:E27)</f>
        <v/>
      </c>
      <c r="G19" s="26" t="inlineStr">
        <is>
          <t>Semana 2 (13-mar)</t>
        </is>
      </c>
      <c r="H19" t="inlineStr">
        <is>
          <t>Hugo</t>
        </is>
      </c>
    </row>
    <row r="20" ht="15" customHeight="1">
      <c r="A20" t="inlineStr">
        <is>
          <t>09/03/2026</t>
        </is>
      </c>
      <c r="B20" s="5" t="inlineStr">
        <is>
          <t>Emiliano Castro - ACME</t>
        </is>
      </c>
      <c r="C20" s="5" t="inlineStr">
        <is>
          <t>Saldo - Regulador - RM-042-220 - 4 KVA - Bifásico</t>
        </is>
      </c>
      <c r="D20" s="6" t="n">
        <v>9786.059999999999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Elizabeth - ACURA</t>
        </is>
      </c>
      <c r="C21" s="5" t="inlineStr">
        <is>
          <t>Regulador - RM-041-120 - 4 KVA - Monofásico + Regulador - RM-051-120 - 5 KVA - Monofásico</t>
        </is>
      </c>
      <c r="D21" s="6" t="n">
        <v>40188.24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10/03/2026</t>
        </is>
      </c>
      <c r="B22" s="5" t="inlineStr">
        <is>
          <t>Elizabeth - ACURA</t>
        </is>
      </c>
      <c r="C22" s="5" t="inlineStr">
        <is>
          <t>Regulador - RM-042N-220 - 4 KVA - Bifásico + UPS - UPS-1000VA - 1000VA</t>
        </is>
      </c>
      <c r="D22" s="6" t="n">
        <v>56687.04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10/03/2026</t>
        </is>
      </c>
      <c r="B23" s="5" t="inlineStr">
        <is>
          <t>Roman - OFFICE DEPOT</t>
        </is>
      </c>
      <c r="C23" s="5" t="inlineStr">
        <is>
          <t>Regulador - RM-042N-220 - 4 KVA - Bifásico + UPS - UPS-1000VA - 1000VA</t>
        </is>
      </c>
      <c r="D23" s="6" t="n">
        <v>56687.04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10/03/2026</t>
        </is>
      </c>
      <c r="B24" s="5" t="inlineStr">
        <is>
          <t>Emiliano Castro - ACME</t>
        </is>
      </c>
      <c r="C24" s="5" t="inlineStr">
        <is>
          <t>UPS - UPS-1000VA - 1000VA</t>
        </is>
      </c>
      <c r="D24" s="6" t="n">
        <v>8352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11/03/2026</t>
        </is>
      </c>
      <c r="B25" s="5" t="inlineStr">
        <is>
          <t>Emiliano Castro - ACME</t>
        </is>
      </c>
      <c r="C25" s="5" t="inlineStr">
        <is>
          <t>Regulador - RM-042-220 - 4 KVA - Bifásico + UPS - UPS-1000VA - 1000VA</t>
        </is>
      </c>
      <c r="D25" s="6" t="n">
        <v>28968.12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11/03/2026</t>
        </is>
      </c>
      <c r="B26" s="5" t="inlineStr">
        <is>
          <t>Roman - OFFICE DEPOT</t>
        </is>
      </c>
      <c r="C26" s="5" t="inlineStr">
        <is>
          <t>Anticipo - Regulador - RM-042-220 - 4 KVA - Bifásico + UPS - UPS-1000VA - 1000VA</t>
        </is>
      </c>
      <c r="D26" s="6" t="n">
        <v>14484.06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11/03/2026</t>
        </is>
      </c>
      <c r="B27" s="5" t="inlineStr">
        <is>
          <t>Roman - OFFICE DEPOT</t>
        </is>
      </c>
      <c r="C27" s="5" t="inlineStr">
        <is>
          <t>Saldo - Regulador - RM-042-220 - 4 KVA - Bifásico + UPS - UPS-1000VA - 1000VA</t>
        </is>
      </c>
      <c r="D27" s="6" t="n">
        <v>14484.06</v>
      </c>
      <c r="E27" s="6">
        <f>D27/1.16</f>
        <v/>
      </c>
      <c r="H27" t="inlineStr">
        <is>
          <t>Hugo</t>
        </is>
      </c>
    </row>
    <row r="28">
      <c r="A28" s="22" t="n"/>
      <c r="B28" s="22" t="n"/>
      <c r="C28" s="22" t="n"/>
      <c r="D28" s="23" t="inlineStr">
        <is>
          <t>TOTAL SIN IVA</t>
        </is>
      </c>
      <c r="E28" s="24">
        <f>SUM(E19:E27)</f>
        <v/>
      </c>
      <c r="F28" s="22" t="n"/>
      <c r="G28" s="22" t="n"/>
      <c r="H28" s="22" t="n"/>
    </row>
    <row r="29">
      <c r="D29" s="27" t="inlineStr">
        <is>
          <t>VENTAS MARZO</t>
        </is>
      </c>
      <c r="E29" s="28">
        <f>E18+E28</f>
        <v/>
      </c>
    </row>
  </sheetData>
  <mergeCells count="14">
    <mergeCell ref="A5:A6"/>
    <mergeCell ref="G5:G6"/>
    <mergeCell ref="F8:F17"/>
    <mergeCell ref="H5:H6"/>
    <mergeCell ref="A7:H7"/>
    <mergeCell ref="A2:H2"/>
    <mergeCell ref="D5:E5"/>
    <mergeCell ref="G8:G17"/>
    <mergeCell ref="J8:L8"/>
    <mergeCell ref="F5:F6"/>
    <mergeCell ref="F19:F27"/>
    <mergeCell ref="B5:B6"/>
    <mergeCell ref="G19:G27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41668.2</v>
      </c>
      <c r="E9" s="6">
        <f>D9/1.16</f>
        <v/>
      </c>
      <c r="F9" s="33">
        <f>SUM(E9:E15)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41668.2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E26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42192.19328686827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136207.625949565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17772.48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t="inlineStr">
        <is>
          <t>04/03/2026</t>
        </is>
      </c>
      <c r="B14" s="5" t="inlineStr">
        <is>
          <t>Elizabeth - ACURA</t>
        </is>
      </c>
      <c r="C14" s="5" t="inlineStr">
        <is>
          <t>Regulador - RM-053-220 - 5 KVA - Trifásico</t>
        </is>
      </c>
      <c r="D14" s="6" t="n">
        <v>83336.40000000001</v>
      </c>
      <c r="E14" s="6">
        <f>D14/1.16</f>
        <v/>
      </c>
      <c r="F14" s="10" t="n"/>
      <c r="G14" s="10" t="n"/>
      <c r="H14" t="inlineStr">
        <is>
          <t>Hugo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 ht="15" customHeight="1">
      <c r="A15" s="18" t="inlineStr">
        <is>
          <t>04/03/2026</t>
        </is>
      </c>
      <c r="B15" s="19" t="inlineStr">
        <is>
          <t>Brandon Castro - REDTEAM</t>
        </is>
      </c>
      <c r="C15" s="19" t="inlineStr">
        <is>
          <t>Regulador - RM-042N-220 - 4 KVA - Bifásico</t>
        </is>
      </c>
      <c r="D15" s="20" t="n">
        <v>41668.2</v>
      </c>
      <c r="E15" s="20">
        <f>D15/1.16</f>
        <v/>
      </c>
      <c r="F15" s="21" t="n"/>
      <c r="G15" s="21" t="n"/>
      <c r="H15" s="18" t="inlineStr">
        <is>
          <t>Marlen</t>
        </is>
      </c>
    </row>
    <row r="16">
      <c r="A16" s="39" t="n"/>
      <c r="B16" s="39" t="n"/>
      <c r="C16" s="39" t="n"/>
      <c r="D16" s="40" t="inlineStr">
        <is>
          <t>TOTAL SIN IVA</t>
        </is>
      </c>
      <c r="E16" s="41">
        <f>SUM(E9:E15)</f>
        <v/>
      </c>
      <c r="F16" s="39" t="n"/>
      <c r="G16" s="39" t="n"/>
      <c r="H16" s="39" t="n"/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Anticipo - Regulador - RM-042-220 - 4 KVA - Bifásico</t>
        </is>
      </c>
      <c r="D17" s="6" t="n">
        <v>8886.24</v>
      </c>
      <c r="E17" s="6">
        <f>D17/1.16</f>
        <v/>
      </c>
      <c r="F17" s="42">
        <f>SUM(E17:E24)</f>
        <v/>
      </c>
      <c r="G17" s="26" t="inlineStr">
        <is>
          <t>Semana 2 (13-mar)</t>
        </is>
      </c>
      <c r="H17" t="inlineStr">
        <is>
          <t>Hugo</t>
        </is>
      </c>
    </row>
    <row r="18" ht="15" customHeight="1">
      <c r="A18" t="inlineStr">
        <is>
          <t>09/03/2026</t>
        </is>
      </c>
      <c r="B18" s="5" t="inlineStr">
        <is>
          <t>Emiliano Castro - ACME</t>
        </is>
      </c>
      <c r="C18" s="5" t="inlineStr">
        <is>
          <t>Saldo - Regulador - RM-042-220 - 4 KVA - Bifásico</t>
        </is>
      </c>
      <c r="D18" s="6" t="n">
        <v>0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10/03/2026</t>
        </is>
      </c>
      <c r="B19" s="5" t="inlineStr">
        <is>
          <t>Elizabeth - ACURA</t>
        </is>
      </c>
      <c r="C19" s="5" t="inlineStr">
        <is>
          <t>Regulador - RM-041-120 - 4 KVA - Monofásico + Regulador - RM-051-120 - 5 KVA - Monofásico</t>
        </is>
      </c>
      <c r="D19" s="6" t="n">
        <v>35544.96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10/03/2026</t>
        </is>
      </c>
      <c r="B20" s="5" t="inlineStr">
        <is>
          <t>Elizabeth - ACURA</t>
        </is>
      </c>
      <c r="C20" s="5" t="inlineStr">
        <is>
          <t>Regulador - RM-042N-220 - 4 KVA - Bifásico</t>
        </is>
      </c>
      <c r="D20" s="6" t="n">
        <v>41668.2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10/03/2026</t>
        </is>
      </c>
      <c r="B21" s="5" t="inlineStr">
        <is>
          <t>Roman - OFFICE DEPOT</t>
        </is>
      </c>
      <c r="C21" s="5" t="inlineStr">
        <is>
          <t>Regulador - RM-042N-220 - 4 KVA - Bifásico</t>
        </is>
      </c>
      <c r="D21" s="6" t="n">
        <v>41668.2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Emiliano Castro - ACME</t>
        </is>
      </c>
      <c r="C22" s="5" t="inlineStr">
        <is>
          <t>Regulador - RM-042-220 - 4 KVA - Bifásico</t>
        </is>
      </c>
      <c r="D22" s="6" t="n">
        <v>17772.48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Roman - OFFICE DEPOT</t>
        </is>
      </c>
      <c r="C23" s="5" t="inlineStr">
        <is>
          <t>Anticipo - Regulador - RM-042-220 - 4 KVA - Bifásico</t>
        </is>
      </c>
      <c r="D23" s="6" t="n">
        <v>8886.24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Roman - OFFICE DEPOT</t>
        </is>
      </c>
      <c r="C24" s="5" t="inlineStr">
        <is>
          <t>Saldo - Regulador - RM-042-220 - 4 KVA - Bifásico</t>
        </is>
      </c>
      <c r="D24" s="6" t="n">
        <v>0</v>
      </c>
      <c r="E24" s="6">
        <f>D24/1.16</f>
        <v/>
      </c>
      <c r="H24" t="inlineStr">
        <is>
          <t>Hugo</t>
        </is>
      </c>
    </row>
    <row r="25">
      <c r="A25" s="39" t="n"/>
      <c r="B25" s="39" t="n"/>
      <c r="C25" s="39" t="n"/>
      <c r="D25" s="40" t="inlineStr">
        <is>
          <t>TOTAL SIN IVA</t>
        </is>
      </c>
      <c r="E25" s="41">
        <f>SUM(E17:E24)</f>
        <v/>
      </c>
      <c r="F25" s="39" t="n"/>
      <c r="G25" s="39" t="n"/>
      <c r="H25" s="39" t="n"/>
    </row>
    <row r="26">
      <c r="D26" s="27" t="inlineStr">
        <is>
          <t>VENTAS MARZO</t>
        </is>
      </c>
      <c r="E26" s="28">
        <f>E16+E25</f>
        <v/>
      </c>
    </row>
  </sheetData>
  <mergeCells count="16">
    <mergeCell ref="A5:A6"/>
    <mergeCell ref="G5:G6"/>
    <mergeCell ref="G9:G15"/>
    <mergeCell ref="A3:H3"/>
    <mergeCell ref="H5:H6"/>
    <mergeCell ref="F9:F15"/>
    <mergeCell ref="G17:G24"/>
    <mergeCell ref="F17:F24"/>
    <mergeCell ref="A2:H2"/>
    <mergeCell ref="D5:E5"/>
    <mergeCell ref="J9:K9"/>
    <mergeCell ref="J10:K11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04/03/2026</t>
        </is>
      </c>
      <c r="B7" s="49" t="inlineStr">
        <is>
          <t>Elizabeth - ACURA</t>
        </is>
      </c>
      <c r="C7" s="49" t="inlineStr">
        <is>
          <t>UPS-1000VA - 1000VA</t>
        </is>
      </c>
      <c r="D7" s="50" t="n">
        <v>8100</v>
      </c>
      <c r="E7" s="50">
        <f>D7/1.16</f>
        <v/>
      </c>
      <c r="F7" s="50" t="n">
        <v>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10/03/2026</t>
        </is>
      </c>
      <c r="B8" s="49" t="inlineStr">
        <is>
          <t>Elizabeth - ACURA</t>
        </is>
      </c>
      <c r="C8" s="49" t="inlineStr">
        <is>
          <t>UPS - UPS-1000VA - 1000VA</t>
        </is>
      </c>
      <c r="D8" s="50" t="n">
        <v>8099.999999999999</v>
      </c>
      <c r="E8" s="50">
        <f>D8/1.16</f>
        <v/>
      </c>
      <c r="F8" s="50" t="n">
        <v>5000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10/03/2026</t>
        </is>
      </c>
      <c r="B9" s="49" t="inlineStr">
        <is>
          <t>Roman - OFFICE DEPOT</t>
        </is>
      </c>
      <c r="C9" s="49" t="inlineStr">
        <is>
          <t>UPS - UPS-1000VA - 1000VA</t>
        </is>
      </c>
      <c r="D9" s="50" t="n">
        <v>8099.999999999999</v>
      </c>
      <c r="E9" s="50">
        <f>D9/1.16</f>
        <v/>
      </c>
      <c r="F9" s="50" t="n">
        <v>5000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10/03/2026</t>
        </is>
      </c>
      <c r="B10" s="49" t="inlineStr">
        <is>
          <t>Emiliano Castro - ACME</t>
        </is>
      </c>
      <c r="C10" s="49" t="inlineStr">
        <is>
          <t>UPS - UPS-1000VA - 1000VA</t>
        </is>
      </c>
      <c r="D10" s="50" t="n">
        <v>8100</v>
      </c>
      <c r="E10" s="50">
        <f>D10/1.16</f>
        <v/>
      </c>
      <c r="F10" s="50" t="n">
        <v>5000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Emiliano Castro - ACME</t>
        </is>
      </c>
      <c r="C11" s="49" t="inlineStr">
        <is>
          <t>UPS - UPS-1000VA - 1000VA</t>
        </is>
      </c>
      <c r="D11" s="50" t="n">
        <v>8100</v>
      </c>
      <c r="E11" s="50">
        <f>D11/1.16</f>
        <v/>
      </c>
      <c r="F11" s="50" t="n">
        <v>6000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Roman - OFFICE DEPOT</t>
        </is>
      </c>
      <c r="C12" s="49" t="inlineStr">
        <is>
          <t>Anticipo - UPS - UPS-1000VA - 1000VA</t>
        </is>
      </c>
      <c r="D12" s="50" t="n">
        <v>4050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Roman - OFFICE DEPOT</t>
        </is>
      </c>
      <c r="C13" s="49" t="inlineStr">
        <is>
          <t>Saldo - UPS - UPS-1000VA - 1000VA</t>
        </is>
      </c>
      <c r="D13" s="50" t="n">
        <v>0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3" t="inlineStr">
        <is>
          <t>TOTAL</t>
        </is>
      </c>
      <c r="I14" s="54">
        <f>SUM(I7:I13)</f>
        <v/>
      </c>
      <c r="J14" s="21" t="n"/>
    </row>
    <row r="15">
      <c r="A15" s="55" t="inlineStr">
        <is>
          <t>04/03/2026</t>
        </is>
      </c>
      <c r="B15" s="56" t="inlineStr">
        <is>
          <t>Roman - OFFICE DEPOT</t>
        </is>
      </c>
      <c r="C15" s="56" t="inlineStr">
        <is>
          <t>UPS-1000VA - 1000VA</t>
        </is>
      </c>
      <c r="D15" s="57" t="n">
        <v>8100</v>
      </c>
      <c r="E15" s="57">
        <f>D15/1.16</f>
        <v/>
      </c>
      <c r="F15" s="57" t="n">
        <v>0</v>
      </c>
      <c r="G15" s="57">
        <f>F15/1.16</f>
        <v/>
      </c>
      <c r="H15" s="57">
        <f>E15-G15</f>
        <v/>
      </c>
      <c r="I15" s="57">
        <f>H15*0.1</f>
        <v/>
      </c>
      <c r="J15" s="58" t="inlineStr">
        <is>
          <t>Marlen</t>
        </is>
      </c>
    </row>
    <row r="16">
      <c r="A16" s="59" t="n"/>
      <c r="B16" s="59" t="n"/>
      <c r="C16" s="59" t="n"/>
      <c r="D16" s="59" t="n"/>
      <c r="E16" s="59" t="n"/>
      <c r="F16" s="59" t="n"/>
      <c r="G16" s="59" t="n"/>
      <c r="H16" s="60" t="inlineStr">
        <is>
          <t>TOTAL</t>
        </is>
      </c>
      <c r="I16" s="61">
        <f>SUM(I15:I15)</f>
        <v/>
      </c>
      <c r="J16" s="21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2026-03-11T21:09:03Z</dcterms:created>
  <dcterms:modified xsi:type="dcterms:W3CDTF">2026-03-11T21:09:03Z</dcterms:modified>
</cp:coreProperties>
</file>