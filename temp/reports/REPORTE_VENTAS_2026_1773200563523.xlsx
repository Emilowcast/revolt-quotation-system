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 - 460 V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 - 220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 - 380 V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SUMIF(H8:H24,J10,E8:E24)</f>
        <v/>
      </c>
      <c r="L10" s="14">
        <f>K10/E$25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 - 120 V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SUMIF(H8:H24,J11,E8:E24)</f>
        <v/>
      </c>
      <c r="L11" s="14">
        <f>K11/E$25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 - 127 V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E25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 - 220 V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 - UPS-1000VA - 1000VA - 1000 V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 - UPS-1000VA - 1000VA - 1000 V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Transformador - TM-040-520 - 500 VA - Monofásico - 500 V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 - 220 V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 - 220 V</t>
        </is>
      </c>
      <c r="D19" s="6" t="n">
        <v>9786.059999999999</v>
      </c>
      <c r="E19" s="6">
        <f>D19/1.16</f>
        <v/>
      </c>
      <c r="F19" s="25">
        <f>SUM(E19:E23)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 - 220 V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- 120 V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- 220 V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- 220 V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>
      <c r="A24" s="22" t="n"/>
      <c r="B24" s="22" t="n"/>
      <c r="C24" s="22" t="n"/>
      <c r="D24" s="23" t="inlineStr">
        <is>
          <t>TOTAL SIN IVA</t>
        </is>
      </c>
      <c r="E24" s="24">
        <f>SUM(E19:E23)</f>
        <v/>
      </c>
      <c r="F24" s="22" t="n"/>
      <c r="G24" s="22" t="n"/>
      <c r="H24" s="22" t="n"/>
    </row>
    <row r="25">
      <c r="D25" s="27" t="inlineStr">
        <is>
          <t>VENTAS MARZO</t>
        </is>
      </c>
      <c r="E25" s="28">
        <f>E18+E24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F19:F23"/>
    <mergeCell ref="J8:L8"/>
    <mergeCell ref="F5:F6"/>
    <mergeCell ref="G19:G23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E23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 - 380 V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 - 120 V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 - 127 V</t>
        </is>
      </c>
      <c r="D13" s="6" t="n">
        <v>19403.28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 - 220 V</t>
        </is>
      </c>
      <c r="D14" s="6" t="n">
        <v>95626.25999999999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 - 220 V</t>
        </is>
      </c>
      <c r="D15" s="20" t="n">
        <v>47291.04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 - 220 V</t>
        </is>
      </c>
      <c r="D17" s="6" t="n">
        <v>9786.059999999999</v>
      </c>
      <c r="E17" s="6">
        <f>D17/1.16</f>
        <v/>
      </c>
      <c r="F17" s="42">
        <f>SUM(E17:E21)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 - 220 V</t>
        </is>
      </c>
      <c r="D18" s="6" t="n">
        <v>9786.059999999999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- 120 V</t>
        </is>
      </c>
      <c r="D19" s="6" t="n">
        <v>40188.24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 - 220 V</t>
        </is>
      </c>
      <c r="D20" s="6" t="n">
        <v>56687.04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 - 220 V</t>
        </is>
      </c>
      <c r="D21" s="6" t="n">
        <v>56687.04</v>
      </c>
      <c r="E21" s="6">
        <f>D21/1.16</f>
        <v/>
      </c>
      <c r="H21" t="inlineStr">
        <is>
          <t>Hugo</t>
        </is>
      </c>
    </row>
    <row r="22">
      <c r="A22" s="39" t="n"/>
      <c r="B22" s="39" t="n"/>
      <c r="C22" s="39" t="n"/>
      <c r="D22" s="40" t="inlineStr">
        <is>
          <t>TOTAL SIN IVA</t>
        </is>
      </c>
      <c r="E22" s="41">
        <f>SUM(E17:E21)</f>
        <v/>
      </c>
      <c r="F22" s="39" t="n"/>
      <c r="G22" s="39" t="n"/>
      <c r="H22" s="39" t="n"/>
    </row>
    <row r="23">
      <c r="D23" s="27" t="inlineStr">
        <is>
          <t>VENTAS MARZO</t>
        </is>
      </c>
      <c r="E23" s="28">
        <f>E16+E22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21"/>
    <mergeCell ref="A2:H2"/>
    <mergeCell ref="D5:E5"/>
    <mergeCell ref="G17:G21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 - UPS-1000VA - 1000VA - 1000 V</t>
        </is>
      </c>
      <c r="D7" s="50" t="n">
        <v>8352</v>
      </c>
      <c r="E7" s="50">
        <f>D7/1.16</f>
        <v/>
      </c>
      <c r="F7" s="50" t="n">
        <v>5000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Regulador - RM-042N-220 - 4 KVA - Bifásico - 220 V</t>
        </is>
      </c>
      <c r="D8" s="50" t="n">
        <v>56687.04</v>
      </c>
      <c r="E8" s="50">
        <f>D8/1.16</f>
        <v/>
      </c>
      <c r="F8" s="50" t="n">
        <v>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Regulador - RM-042N-220 - 4 KVA - Bifásico - 220 V</t>
        </is>
      </c>
      <c r="D9" s="50" t="n">
        <v>56687.04</v>
      </c>
      <c r="E9" s="50">
        <f>D9/1.16</f>
        <v/>
      </c>
      <c r="F9" s="50" t="n">
        <v>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52" t="n"/>
      <c r="B10" s="52" t="n"/>
      <c r="C10" s="52" t="n"/>
      <c r="D10" s="52" t="n"/>
      <c r="E10" s="52" t="n"/>
      <c r="F10" s="52" t="n"/>
      <c r="G10" s="52" t="n"/>
      <c r="H10" s="53" t="inlineStr">
        <is>
          <t>TOTAL</t>
        </is>
      </c>
      <c r="I10" s="54">
        <f>SUM(I7:I9)</f>
        <v/>
      </c>
      <c r="J10" s="21" t="n"/>
    </row>
    <row r="11">
      <c r="A11" s="55" t="inlineStr">
        <is>
          <t>04/03/2026</t>
        </is>
      </c>
      <c r="B11" s="56" t="inlineStr">
        <is>
          <t>Roman - OFFICE DEPOT</t>
        </is>
      </c>
      <c r="C11" s="56" t="inlineStr">
        <is>
          <t>UPS - UPS-1000VA - 1000VA - 1000 V</t>
        </is>
      </c>
      <c r="D11" s="57" t="n">
        <v>8352</v>
      </c>
      <c r="E11" s="57">
        <f>D11/1.16</f>
        <v/>
      </c>
      <c r="F11" s="57" t="n">
        <v>5000</v>
      </c>
      <c r="G11" s="57">
        <f>F11/1.16</f>
        <v/>
      </c>
      <c r="H11" s="57">
        <f>E11-G11</f>
        <v/>
      </c>
      <c r="I11" s="57">
        <f>H11*0.1</f>
        <v/>
      </c>
      <c r="J11" s="58" t="inlineStr">
        <is>
          <t>Marlen</t>
        </is>
      </c>
    </row>
    <row r="12">
      <c r="A12" s="55" t="inlineStr">
        <is>
          <t>04/03/2026</t>
        </is>
      </c>
      <c r="B12" s="56" t="inlineStr">
        <is>
          <t>Elizabeth - ACURA</t>
        </is>
      </c>
      <c r="C12" s="56" t="inlineStr">
        <is>
          <t>Transformador - TM-040-520 - 500 VA - Monofásico - 500 V</t>
        </is>
      </c>
      <c r="D12" s="57" t="n">
        <v>11066.4</v>
      </c>
      <c r="E12" s="57">
        <f>D12/1.16</f>
        <v/>
      </c>
      <c r="F12" s="57" t="n">
        <v>5000</v>
      </c>
      <c r="G12" s="57">
        <f>F12/1.16</f>
        <v/>
      </c>
      <c r="H12" s="57">
        <f>E12-G12</f>
        <v/>
      </c>
      <c r="I12" s="57">
        <f>H12*0.1</f>
        <v/>
      </c>
      <c r="J12" s="10" t="n"/>
    </row>
    <row r="13">
      <c r="A13" s="59" t="n"/>
      <c r="B13" s="59" t="n"/>
      <c r="C13" s="59" t="n"/>
      <c r="D13" s="59" t="n"/>
      <c r="E13" s="59" t="n"/>
      <c r="F13" s="59" t="n"/>
      <c r="G13" s="59" t="n"/>
      <c r="H13" s="60" t="inlineStr">
        <is>
          <t>TOTAL</t>
        </is>
      </c>
      <c r="I13" s="61">
        <f>SUM(I11:I12)</f>
        <v/>
      </c>
      <c r="J13" s="21" t="n"/>
    </row>
  </sheetData>
  <mergeCells count="13">
    <mergeCell ref="A5:A6"/>
    <mergeCell ref="A1:J1"/>
    <mergeCell ref="H5:H6"/>
    <mergeCell ref="J5:J6"/>
    <mergeCell ref="F5:G5"/>
    <mergeCell ref="D5:E5"/>
    <mergeCell ref="J7:J10"/>
    <mergeCell ref="J11:J13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2026-03-11T03:42:44Z</dcterms:created>
  <dcterms:modified xsi:type="dcterms:W3CDTF">2026-03-11T03:42:44Z</dcterms:modified>
</cp:coreProperties>
</file>