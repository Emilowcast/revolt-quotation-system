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ENERAL" sheetId="1" state="visible" r:id="rId1"/>
    <sheet name="Comisiones" sheetId="2" state="visible" r:id="rId2"/>
    <sheet name="Comercializac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1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FFFFFF"/>
      <sz val="20"/>
    </font>
    <font>
      <name val="Calibri"/>
      <b val="1"/>
      <sz val="10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sz val="10"/>
    </font>
    <font>
      <name val="Calibri"/>
      <i val="1"/>
      <color rgb="00666666"/>
      <sz val="10"/>
    </font>
    <font>
      <name val="Calibri"/>
      <b val="1"/>
      <color rgb="00000000"/>
      <sz val="20"/>
    </font>
    <font>
      <name val="Calibri"/>
      <b val="1"/>
      <color rgb="00FFFFFF"/>
      <sz val="12"/>
    </font>
    <font>
      <name val="Calibri"/>
      <b val="1"/>
      <color rgb="00000000"/>
      <sz val="16"/>
    </font>
    <font>
      <name val="Calibri"/>
      <b val="1"/>
      <sz val="16"/>
    </font>
    <font>
      <name val="Calibri"/>
      <color rgb="00222222"/>
      <sz val="12"/>
    </font>
    <font>
      <name val="Calibri"/>
      <b val="1"/>
      <i val="1"/>
      <color rgb="00FFFFFF"/>
      <sz val="16"/>
    </font>
  </fonts>
  <fills count="18">
    <fill>
      <patternFill/>
    </fill>
    <fill>
      <patternFill patternType="gray125"/>
    </fill>
    <fill>
      <patternFill patternType="solid">
        <fgColor rgb="00F62E41"/>
        <bgColor rgb="00F62E41"/>
      </patternFill>
    </fill>
    <fill>
      <patternFill patternType="solid">
        <fgColor rgb="00D41F33"/>
        <bgColor rgb="00D41F33"/>
      </patternFill>
    </fill>
    <fill>
      <patternFill patternType="solid">
        <fgColor rgb="00DDEEFF"/>
        <bgColor rgb="00DDEEFF"/>
      </patternFill>
    </fill>
    <fill>
      <patternFill patternType="solid">
        <fgColor rgb="00FFB3BA"/>
        <bgColor rgb="00FFB3BA"/>
      </patternFill>
    </fill>
    <fill>
      <patternFill patternType="solid">
        <fgColor rgb="0028A745"/>
        <bgColor rgb="0028A745"/>
      </patternFill>
    </fill>
    <fill>
      <patternFill patternType="solid">
        <fgColor rgb="00FFE6E6"/>
        <bgColor rgb="00FFE6E6"/>
      </patternFill>
    </fill>
    <fill>
      <patternFill patternType="solid">
        <fgColor rgb="00FFA500"/>
        <bgColor rgb="00FFA500"/>
      </patternFill>
    </fill>
    <fill>
      <patternFill patternType="solid">
        <fgColor rgb="00FF8C00"/>
        <bgColor rgb="00FF8C00"/>
      </patternFill>
    </fill>
    <fill>
      <patternFill patternType="solid">
        <fgColor rgb="00FFD700"/>
        <bgColor rgb="00FFD700"/>
      </patternFill>
    </fill>
    <fill>
      <patternFill patternType="solid">
        <fgColor rgb="00FFE4B5"/>
        <bgColor rgb="00FFE4B5"/>
      </patternFill>
    </fill>
    <fill>
      <patternFill patternType="solid">
        <fgColor rgb="000070C0"/>
        <bgColor rgb="000070C0"/>
      </patternFill>
    </fill>
    <fill>
      <patternFill patternType="solid">
        <fgColor rgb="001F4E79"/>
        <bgColor rgb="001F4E79"/>
      </patternFill>
    </fill>
    <fill>
      <patternFill patternType="solid">
        <fgColor rgb="00DDEBF7"/>
        <bgColor rgb="00DDEBF7"/>
      </patternFill>
    </fill>
    <fill>
      <patternFill patternType="solid">
        <fgColor rgb="00BDD7EE"/>
        <bgColor rgb="00BDD7EE"/>
      </patternFill>
    </fill>
    <fill>
      <patternFill patternType="solid">
        <fgColor rgb="00FCE4D6"/>
        <bgColor rgb="00FCE4D6"/>
      </patternFill>
    </fill>
    <fill>
      <patternFill patternType="solid">
        <fgColor rgb="00F4B8A0"/>
        <bgColor rgb="00F4B8A0"/>
      </patternFill>
    </fill>
  </fills>
  <borders count="4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  <border>
      <left/>
      <right style="thin">
        <color rgb="00000000"/>
      </right>
      <top/>
      <bottom style="thin">
        <color rgb="00000000"/>
      </bottom>
      <diagonal/>
    </border>
    <border>
      <left/>
      <right style="thin">
        <color rgb="00000000"/>
      </right>
      <top/>
      <bottom/>
      <diagonal/>
    </border>
  </borders>
  <cellStyleXfs count="1">
    <xf numFmtId="0" fontId="0" fillId="0" borderId="0"/>
  </cellStyleXfs>
  <cellXfs count="6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3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top" wrapText="1"/>
    </xf>
    <xf numFmtId="164" fontId="0" fillId="0" borderId="0" pivotButton="0" quotePrefix="0" xfId="0"/>
    <xf numFmtId="164" fontId="4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0" fillId="0" borderId="3" pivotButton="0" quotePrefix="0" xfId="0"/>
    <xf numFmtId="0" fontId="6" fillId="3" borderId="1" applyAlignment="1" pivotButton="0" quotePrefix="0" xfId="0">
      <alignment horizontal="center" vertical="center"/>
    </xf>
    <xf numFmtId="0" fontId="7" fillId="0" borderId="1" pivotButton="0" quotePrefix="0" xfId="0"/>
    <xf numFmtId="164" fontId="7" fillId="0" borderId="1" pivotButton="0" quotePrefix="0" xfId="0"/>
    <xf numFmtId="10" fontId="7" fillId="0" borderId="1" pivotButton="0" quotePrefix="0" xfId="0"/>
    <xf numFmtId="0" fontId="4" fillId="7" borderId="1" pivotButton="0" quotePrefix="0" xfId="0"/>
    <xf numFmtId="164" fontId="4" fillId="7" borderId="1" pivotButton="0" quotePrefix="0" xfId="0"/>
    <xf numFmtId="10" fontId="4" fillId="7" borderId="1" pivotButton="0" quotePrefix="0" xfId="0"/>
    <xf numFmtId="0" fontId="0" fillId="4" borderId="1" pivotButton="0" quotePrefix="0" xfId="0"/>
    <xf numFmtId="0" fontId="0" fillId="4" borderId="1" applyAlignment="1" pivotButton="0" quotePrefix="0" xfId="0">
      <alignment vertical="top" wrapText="1"/>
    </xf>
    <xf numFmtId="164" fontId="0" fillId="4" borderId="1" pivotButton="0" quotePrefix="0" xfId="0"/>
    <xf numFmtId="0" fontId="0" fillId="0" borderId="2" pivotButton="0" quotePrefix="0" xfId="0"/>
    <xf numFmtId="0" fontId="0" fillId="5" borderId="0" pivotButton="0" quotePrefix="0" xfId="0"/>
    <xf numFmtId="0" fontId="5" fillId="5" borderId="0" applyAlignment="1" pivotButton="0" quotePrefix="0" xfId="0">
      <alignment horizontal="right" vertical="center"/>
    </xf>
    <xf numFmtId="164" fontId="5" fillId="5" borderId="0" pivotButton="0" quotePrefix="0" xfId="0"/>
    <xf numFmtId="164" fontId="4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2" fillId="6" borderId="0" applyAlignment="1" pivotButton="0" quotePrefix="0" xfId="0">
      <alignment horizontal="right" vertical="center"/>
    </xf>
    <xf numFmtId="164" fontId="2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2" fillId="9" borderId="1" applyAlignment="1" pivotButton="0" quotePrefix="0" xfId="0">
      <alignment horizontal="center" vertical="center"/>
    </xf>
    <xf numFmtId="0" fontId="9" fillId="10" borderId="1" applyAlignment="1" pivotButton="0" quotePrefix="0" xfId="0">
      <alignment horizontal="center" vertical="center"/>
    </xf>
    <xf numFmtId="164" fontId="5" fillId="0" borderId="2" applyAlignment="1" pivotButton="0" quotePrefix="0" xfId="0">
      <alignment horizontal="center" vertical="center"/>
    </xf>
    <xf numFmtId="0" fontId="10" fillId="9" borderId="1" applyAlignment="1" pivotButton="0" quotePrefix="0" xfId="0">
      <alignment horizontal="center" vertical="center"/>
    </xf>
    <xf numFmtId="164" fontId="11" fillId="11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left" vertical="center"/>
    </xf>
    <xf numFmtId="164" fontId="7" fillId="0" borderId="1" applyAlignment="1" pivotButton="0" quotePrefix="0" xfId="0">
      <alignment horizontal="right" vertical="center"/>
    </xf>
    <xf numFmtId="0" fontId="0" fillId="11" borderId="0" pivotButton="0" quotePrefix="0" xfId="0"/>
    <xf numFmtId="0" fontId="5" fillId="11" borderId="0" applyAlignment="1" pivotButton="0" quotePrefix="0" xfId="0">
      <alignment horizontal="right" vertical="center"/>
    </xf>
    <xf numFmtId="164" fontId="5" fillId="11" borderId="0" pivotButton="0" quotePrefix="0" xfId="0"/>
    <xf numFmtId="164" fontId="5" fillId="0" borderId="0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0" fontId="13" fillId="0" borderId="0" applyAlignment="1" pivotButton="0" quotePrefix="0" xfId="0">
      <alignment horizontal="right" vertical="center"/>
    </xf>
    <xf numFmtId="0" fontId="14" fillId="12" borderId="1" applyAlignment="1" pivotButton="0" quotePrefix="0" xfId="0">
      <alignment horizontal="right" vertical="center"/>
    </xf>
    <xf numFmtId="0" fontId="6" fillId="13" borderId="1" applyAlignment="1" pivotButton="0" quotePrefix="0" xfId="0">
      <alignment horizontal="center" vertical="center"/>
    </xf>
    <xf numFmtId="0" fontId="6" fillId="13" borderId="1" applyAlignment="1" pivotButton="0" quotePrefix="0" xfId="0">
      <alignment horizontal="center" vertical="center" wrapText="1"/>
    </xf>
    <xf numFmtId="0" fontId="7" fillId="14" borderId="1" applyAlignment="1" pivotButton="0" quotePrefix="0" xfId="0">
      <alignment horizontal="center" vertical="center"/>
    </xf>
    <xf numFmtId="0" fontId="7" fillId="14" borderId="1" applyAlignment="1" pivotButton="0" quotePrefix="0" xfId="0">
      <alignment vertical="top" wrapText="1"/>
    </xf>
    <xf numFmtId="164" fontId="7" fillId="14" borderId="1" pivotButton="0" quotePrefix="0" xfId="0"/>
    <xf numFmtId="0" fontId="4" fillId="14" borderId="1" applyAlignment="1" pivotButton="0" quotePrefix="0" xfId="0">
      <alignment horizontal="center" vertical="center"/>
    </xf>
    <xf numFmtId="0" fontId="0" fillId="15" borderId="1" pivotButton="0" quotePrefix="0" xfId="0"/>
    <xf numFmtId="0" fontId="4" fillId="15" borderId="1" applyAlignment="1" pivotButton="0" quotePrefix="0" xfId="0">
      <alignment horizontal="right" vertical="center"/>
    </xf>
    <xf numFmtId="164" fontId="4" fillId="15" borderId="1" pivotButton="0" quotePrefix="0" xfId="0"/>
    <xf numFmtId="0" fontId="7" fillId="16" borderId="1" applyAlignment="1" pivotButton="0" quotePrefix="0" xfId="0">
      <alignment horizontal="center" vertical="center"/>
    </xf>
    <xf numFmtId="0" fontId="7" fillId="16" borderId="1" applyAlignment="1" pivotButton="0" quotePrefix="0" xfId="0">
      <alignment vertical="top" wrapText="1"/>
    </xf>
    <xf numFmtId="164" fontId="7" fillId="16" borderId="1" pivotButton="0" quotePrefix="0" xfId="0"/>
    <xf numFmtId="0" fontId="4" fillId="16" borderId="1" applyAlignment="1" pivotButton="0" quotePrefix="0" xfId="0">
      <alignment horizontal="center" vertical="center"/>
    </xf>
    <xf numFmtId="0" fontId="0" fillId="17" borderId="1" pivotButton="0" quotePrefix="0" xfId="0"/>
    <xf numFmtId="0" fontId="4" fillId="17" borderId="1" applyAlignment="1" pivotButton="0" quotePrefix="0" xfId="0">
      <alignment horizontal="right" vertical="center"/>
    </xf>
    <xf numFmtId="164" fontId="4" fillId="17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15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0" customWidth="1" min="10" max="10"/>
    <col width="27" customWidth="1" min="11" max="11"/>
    <col width="11" customWidth="1" min="12" max="12"/>
  </cols>
  <sheetData>
    <row r="1"/>
    <row r="2" ht="25" customHeight="1">
      <c r="A2" s="1" t="inlineStr">
        <is>
          <t>Ingreso de Ventas Anual 2026</t>
        </is>
      </c>
    </row>
    <row r="3"/>
    <row r="4"/>
    <row r="5" ht="20" customHeight="1">
      <c r="A5" s="2" t="inlineStr">
        <is>
          <t>Fecha</t>
        </is>
      </c>
      <c r="B5" s="2" t="inlineStr">
        <is>
          <t>Cliente</t>
        </is>
      </c>
      <c r="C5" s="2" t="inlineStr">
        <is>
          <t>Concepto</t>
        </is>
      </c>
      <c r="D5" s="2" t="inlineStr">
        <is>
          <t>DEPÓSITO</t>
        </is>
      </c>
      <c r="E5" s="3" t="n"/>
      <c r="F5" s="2" t="inlineStr">
        <is>
          <t>Total</t>
        </is>
      </c>
      <c r="G5" s="2" t="inlineStr">
        <is>
          <t>Semana</t>
        </is>
      </c>
      <c r="H5" s="2" t="inlineStr">
        <is>
          <t>Vendedor</t>
        </is>
      </c>
    </row>
    <row r="6" ht="20" customHeight="1">
      <c r="A6" s="3" t="n"/>
      <c r="B6" s="3" t="n"/>
      <c r="C6" s="3" t="n"/>
      <c r="D6" s="2" t="inlineStr">
        <is>
          <t>Con IVA</t>
        </is>
      </c>
      <c r="E6" s="2" t="inlineStr">
        <is>
          <t>Sin IVA</t>
        </is>
      </c>
      <c r="F6" s="3" t="n"/>
      <c r="G6" s="3" t="n"/>
      <c r="H6" s="3" t="n"/>
    </row>
    <row r="7" ht="30" customHeight="1">
      <c r="A7" s="4" t="inlineStr">
        <is>
          <t>MARZO</t>
        </is>
      </c>
    </row>
    <row r="8" ht="15" customHeight="1">
      <c r="A8" t="inlineStr">
        <is>
          <t>03/03/2026</t>
        </is>
      </c>
      <c r="B8" s="5" t="inlineStr">
        <is>
          <t>Elizabeth - ACURA</t>
        </is>
      </c>
      <c r="C8" s="5" t="inlineStr">
        <is>
          <t>Regulador - RM-053-460 - 5 KVA - Trifásico</t>
        </is>
      </c>
      <c r="D8" s="6" t="n">
        <v>47291.04</v>
      </c>
      <c r="E8" s="6">
        <f>D8/1.16</f>
        <v/>
      </c>
      <c r="F8" s="7">
        <f>SUM(E8:E14)</f>
        <v/>
      </c>
      <c r="G8" s="8" t="inlineStr">
        <is>
          <t>Semana 1 (06-mar)</t>
        </is>
      </c>
      <c r="H8" t="inlineStr">
        <is>
          <t>Hugo</t>
        </is>
      </c>
      <c r="J8" s="9" t="inlineStr">
        <is>
          <t>MARZO</t>
        </is>
      </c>
    </row>
    <row r="9" ht="15" customHeight="1">
      <c r="A9" t="inlineStr">
        <is>
          <t>03/03/2026</t>
        </is>
      </c>
      <c r="B9" s="5" t="inlineStr">
        <is>
          <t>Roman - OFFICE DEPOT</t>
        </is>
      </c>
      <c r="C9" s="5" t="inlineStr">
        <is>
          <t>Regulador - RM-042N-220 - 4 KVA - Bifásico</t>
        </is>
      </c>
      <c r="D9" s="6" t="n">
        <v>47291.04</v>
      </c>
      <c r="E9" s="6">
        <f>D9/1.16</f>
        <v/>
      </c>
      <c r="F9" s="10" t="n"/>
      <c r="G9" s="10" t="n"/>
      <c r="H9" t="inlineStr">
        <is>
          <t>Hugo</t>
        </is>
      </c>
      <c r="J9" s="11" t="inlineStr">
        <is>
          <t>VENDEDOR</t>
        </is>
      </c>
      <c r="K9" s="11" t="inlineStr">
        <is>
          <t>VENTAS</t>
        </is>
      </c>
      <c r="L9" s="11" t="inlineStr">
        <is>
          <t>%</t>
        </is>
      </c>
    </row>
    <row r="10" ht="15" customHeight="1">
      <c r="A10" t="inlineStr">
        <is>
          <t>03/03/2026</t>
        </is>
      </c>
      <c r="B10" s="5" t="inlineStr">
        <is>
          <t>Elizabeth - ACURA</t>
        </is>
      </c>
      <c r="C10" s="5" t="inlineStr">
        <is>
          <t>Reparación - Regulador - RM-053-380 - 5 KVA - Trifásico</t>
        </is>
      </c>
      <c r="D10" s="6" t="n">
        <v>50000</v>
      </c>
      <c r="E10" s="6">
        <f>D10/1.16</f>
        <v/>
      </c>
      <c r="F10" s="10" t="n"/>
      <c r="G10" s="10" t="n"/>
      <c r="H10" t="inlineStr">
        <is>
          <t>Hugo</t>
        </is>
      </c>
      <c r="J10" s="12" t="inlineStr">
        <is>
          <t>Hugo</t>
        </is>
      </c>
      <c r="K10" s="13">
        <f>SUMIF(H8:H25,J10,E8:E25)</f>
        <v/>
      </c>
      <c r="L10" s="14">
        <f>K10/E$26</f>
        <v/>
      </c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Mantenimiento - Regulador - RM-051-120 - 5 KVA - Monofásico</t>
        </is>
      </c>
      <c r="D11" s="6" t="n">
        <v>150000</v>
      </c>
      <c r="E11" s="6">
        <f>D11/1.16</f>
        <v/>
      </c>
      <c r="F11" s="10" t="n"/>
      <c r="G11" s="10" t="n"/>
      <c r="H11" t="inlineStr">
        <is>
          <t>Hugo</t>
        </is>
      </c>
      <c r="J11" s="12" t="inlineStr">
        <is>
          <t>Marlen</t>
        </is>
      </c>
      <c r="K11" s="13">
        <f>SUMIF(H8:H25,J11,E8:E25)</f>
        <v/>
      </c>
      <c r="L11" s="14">
        <f>K11/E$26</f>
        <v/>
      </c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Regulador - RM-051-127 - 5 KVA - Monofásico</t>
        </is>
      </c>
      <c r="D12" s="6" t="n">
        <v>19403.28</v>
      </c>
      <c r="E12" s="6">
        <f>D12/1.16</f>
        <v/>
      </c>
      <c r="F12" s="10" t="n"/>
      <c r="G12" s="10" t="n"/>
      <c r="H12" t="inlineStr">
        <is>
          <t>Hugo</t>
        </is>
      </c>
      <c r="J12" s="15" t="inlineStr">
        <is>
          <t>Total</t>
        </is>
      </c>
      <c r="K12" s="16">
        <f>E26</f>
        <v/>
      </c>
      <c r="L12" s="17" t="n">
        <v>1</v>
      </c>
    </row>
    <row r="13" ht="15" customHeight="1">
      <c r="A13" t="inlineStr">
        <is>
          <t>04/03/2026</t>
        </is>
      </c>
      <c r="B13" s="5" t="inlineStr">
        <is>
          <t>Roman - OFFICE DEPOT</t>
        </is>
      </c>
      <c r="C13" s="5" t="inlineStr">
        <is>
          <t>UPS-1000VA - 1000VA</t>
        </is>
      </c>
      <c r="D13" s="6" t="n">
        <v>8352</v>
      </c>
      <c r="E13" s="6">
        <f>D13/1.16</f>
        <v/>
      </c>
      <c r="F13" s="10" t="n"/>
      <c r="G13" s="10" t="n"/>
      <c r="H13" t="inlineStr">
        <is>
          <t>Marlen</t>
        </is>
      </c>
    </row>
    <row r="14" ht="15" customHeight="1">
      <c r="A14" s="18" t="inlineStr">
        <is>
          <t>04/03/2026</t>
        </is>
      </c>
      <c r="B14" s="19" t="inlineStr">
        <is>
          <t>Brandon Castro - REDTEAM</t>
        </is>
      </c>
      <c r="C14" s="19" t="inlineStr">
        <is>
          <t>Regulador - RM-042N-220 - 4 KVA - Bifásico</t>
        </is>
      </c>
      <c r="D14" s="20" t="n">
        <v>47291.04</v>
      </c>
      <c r="E14" s="20">
        <f>D14/1.16</f>
        <v/>
      </c>
      <c r="F14" s="21" t="n"/>
      <c r="G14" s="21" t="n"/>
      <c r="H14" s="18" t="inlineStr">
        <is>
          <t>Marlen</t>
        </is>
      </c>
    </row>
    <row r="15">
      <c r="A15" s="22" t="n"/>
      <c r="B15" s="22" t="n"/>
      <c r="C15" s="22" t="n"/>
      <c r="D15" s="23" t="inlineStr">
        <is>
          <t>TOTAL SIN IVA</t>
        </is>
      </c>
      <c r="E15" s="24">
        <f>SUM(E8:E14)</f>
        <v/>
      </c>
      <c r="F15" s="22" t="n"/>
      <c r="G15" s="22" t="n"/>
      <c r="H15" s="22" t="n"/>
    </row>
    <row r="16" ht="15" customHeight="1">
      <c r="A16" t="inlineStr">
        <is>
          <t>09/03/2026</t>
        </is>
      </c>
      <c r="B16" s="5" t="inlineStr">
        <is>
          <t>Emiliano Castro - ACME</t>
        </is>
      </c>
      <c r="C16" s="5" t="inlineStr">
        <is>
          <t>Anticipo - Regulador - RM-042-220 - 4 KVA - Bifásico</t>
        </is>
      </c>
      <c r="D16" s="6" t="n">
        <v>9786.059999999999</v>
      </c>
      <c r="E16" s="6">
        <f>D16/1.16</f>
        <v/>
      </c>
      <c r="F16" s="25">
        <f>SUM(E16:E24)</f>
        <v/>
      </c>
      <c r="G16" s="26" t="inlineStr">
        <is>
          <t>Semana 2 (13-mar)</t>
        </is>
      </c>
      <c r="H16" t="inlineStr">
        <is>
          <t>Hugo</t>
        </is>
      </c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Saldo - Regulador - RM-042-220 - 4 KVA - Bifásico</t>
        </is>
      </c>
      <c r="D17" s="6" t="n">
        <v>9786.059999999999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11/03/2026</t>
        </is>
      </c>
      <c r="B18" s="5" t="inlineStr">
        <is>
          <t>Emiliano Castro - ACME</t>
        </is>
      </c>
      <c r="C18" s="5" t="inlineStr">
        <is>
          <t>Saldo - Regulador - RM-042N-220 - 4 KVA - Bifásico + UPS - UPS-1000VA - 1000VA</t>
        </is>
      </c>
      <c r="D18" s="6" t="n">
        <v>28343.52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11/03/2026</t>
        </is>
      </c>
      <c r="B19" s="5" t="inlineStr">
        <is>
          <t>Emiliano Castro - ACME</t>
        </is>
      </c>
      <c r="C19" s="5" t="inlineStr">
        <is>
          <t>Anticipo - Regulador - RM-042N-220 - 4 KVA - Bifásico + UPS - UPS-1000VA - 1000VA</t>
        </is>
      </c>
      <c r="D19" s="6" t="n">
        <v>28343.52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11/03/2026</t>
        </is>
      </c>
      <c r="B20" s="5" t="inlineStr">
        <is>
          <t>Emiliano Castro - ACME</t>
        </is>
      </c>
      <c r="C20" s="5" t="inlineStr">
        <is>
          <t>Saldo - Regulador - RM-042N-220 - 4 KVA - Bifásico + UPS - UPS-1000VA - 1000VA</t>
        </is>
      </c>
      <c r="D20" s="6" t="n">
        <v>28343.52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11/03/2026</t>
        </is>
      </c>
      <c r="B21" s="5" t="inlineStr">
        <is>
          <t>Elizabeth - ACURA</t>
        </is>
      </c>
      <c r="C21" s="5" t="inlineStr">
        <is>
          <t>Anticipo - Regulador - RM-042N-220 - 4 KVA - Bifásico + UPS - UPS-1000VA - 1000VA</t>
        </is>
      </c>
      <c r="D21" s="6" t="n">
        <v>28343.52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Elizabeth - ACURA</t>
        </is>
      </c>
      <c r="C22" s="5" t="inlineStr">
        <is>
          <t>Saldo - Regulador - RM-042N-220 - 4 KVA - Bifásico + UPS - UPS-1000VA - 1000VA</t>
        </is>
      </c>
      <c r="D22" s="6" t="n">
        <v>28343.52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Elizabeth - ACURA</t>
        </is>
      </c>
      <c r="C23" s="5" t="inlineStr">
        <is>
          <t>Anticipo - Regulador - RM-042N-220 - 4 KVA - Bifásico + UPS - UPS-1000VA - 1000VA</t>
        </is>
      </c>
      <c r="D23" s="6" t="n">
        <v>28343.52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Elizabeth - ACURA</t>
        </is>
      </c>
      <c r="C24" s="5" t="inlineStr">
        <is>
          <t>Saldo - Regulador - RM-042N-220 - 4 KVA - Bifásico + UPS - UPS-1000VA - 1000VA</t>
        </is>
      </c>
      <c r="D24" s="6" t="n">
        <v>28343.52</v>
      </c>
      <c r="E24" s="6">
        <f>D24/1.16</f>
        <v/>
      </c>
      <c r="H24" t="inlineStr">
        <is>
          <t>Hugo</t>
        </is>
      </c>
    </row>
    <row r="25">
      <c r="A25" s="22" t="n"/>
      <c r="B25" s="22" t="n"/>
      <c r="C25" s="22" t="n"/>
      <c r="D25" s="23" t="inlineStr">
        <is>
          <t>TOTAL SIN IVA</t>
        </is>
      </c>
      <c r="E25" s="24">
        <f>SUM(E16:E24)</f>
        <v/>
      </c>
      <c r="F25" s="22" t="n"/>
      <c r="G25" s="22" t="n"/>
      <c r="H25" s="22" t="n"/>
    </row>
    <row r="26">
      <c r="D26" s="27" t="inlineStr">
        <is>
          <t>VENTAS MARZO</t>
        </is>
      </c>
      <c r="E26" s="28">
        <f>E15+E25</f>
        <v/>
      </c>
    </row>
  </sheetData>
  <mergeCells count="14">
    <mergeCell ref="A5:A6"/>
    <mergeCell ref="G5:G6"/>
    <mergeCell ref="H5:H6"/>
    <mergeCell ref="A7:H7"/>
    <mergeCell ref="F8:F14"/>
    <mergeCell ref="A2:H2"/>
    <mergeCell ref="D5:E5"/>
    <mergeCell ref="F16:F24"/>
    <mergeCell ref="J8:L8"/>
    <mergeCell ref="G8:G14"/>
    <mergeCell ref="F5:F6"/>
    <mergeCell ref="B5:B6"/>
    <mergeCell ref="G16:G24"/>
    <mergeCell ref="C5:C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26" customWidth="1" min="2" max="2"/>
    <col width="60" customWidth="1" min="3" max="3"/>
    <col width="20" customWidth="1" min="4" max="4"/>
    <col width="15" customWidth="1" min="5" max="5"/>
    <col width="15" customWidth="1" min="6" max="6"/>
    <col width="19" customWidth="1" min="7" max="7"/>
    <col width="10" customWidth="1" min="8" max="8"/>
    <col width="10" customWidth="1" min="9" max="9"/>
    <col width="14" customWidth="1" min="10" max="10"/>
    <col width="60" customWidth="1" min="11" max="11"/>
    <col width="10" customWidth="1" min="12" max="12"/>
  </cols>
  <sheetData>
    <row r="1"/>
    <row r="2">
      <c r="A2" s="29" t="inlineStr">
        <is>
          <t>Comisiones Anual 2026</t>
        </is>
      </c>
    </row>
    <row r="3">
      <c r="A3" s="30" t="inlineStr">
        <is>
          <t>Reguladores Electromecánicos, Reparaciones y Mantenimientos</t>
        </is>
      </c>
    </row>
    <row r="4"/>
    <row r="5">
      <c r="A5" s="31" t="inlineStr">
        <is>
          <t>Fecha</t>
        </is>
      </c>
      <c r="B5" s="31" t="inlineStr">
        <is>
          <t>Cliente</t>
        </is>
      </c>
      <c r="C5" s="31" t="inlineStr">
        <is>
          <t>Concepto</t>
        </is>
      </c>
      <c r="D5" s="31" t="inlineStr">
        <is>
          <t>DEPÓSITO</t>
        </is>
      </c>
      <c r="E5" s="3" t="n"/>
      <c r="F5" s="31" t="inlineStr">
        <is>
          <t>Total</t>
        </is>
      </c>
      <c r="G5" s="31" t="inlineStr">
        <is>
          <t>Semana</t>
        </is>
      </c>
      <c r="H5" s="31" t="inlineStr">
        <is>
          <t>Vendedor</t>
        </is>
      </c>
    </row>
    <row r="6">
      <c r="A6" s="3" t="n"/>
      <c r="B6" s="3" t="n"/>
      <c r="C6" s="3" t="n"/>
      <c r="D6" s="31" t="inlineStr">
        <is>
          <t>Con IVA</t>
        </is>
      </c>
      <c r="E6" s="31" t="inlineStr">
        <is>
          <t>Sin IVA</t>
        </is>
      </c>
      <c r="F6" s="3" t="n"/>
      <c r="G6" s="3" t="n"/>
      <c r="H6" s="3" t="n"/>
    </row>
    <row r="7"/>
    <row r="8" ht="30" customHeight="1">
      <c r="A8" s="32" t="inlineStr">
        <is>
          <t>MARZO</t>
        </is>
      </c>
      <c r="B8" s="3" t="n"/>
      <c r="C8" s="3" t="n"/>
      <c r="D8" s="3" t="n"/>
      <c r="E8" s="3" t="n"/>
      <c r="F8" s="3" t="n"/>
      <c r="G8" s="3" t="n"/>
      <c r="H8" s="3" t="n"/>
    </row>
    <row r="9" ht="15" customHeight="1">
      <c r="A9" t="inlineStr">
        <is>
          <t>03/03/2026</t>
        </is>
      </c>
      <c r="B9" s="5" t="inlineStr">
        <is>
          <t>Elizabeth - ACURA</t>
        </is>
      </c>
      <c r="C9" s="5" t="inlineStr">
        <is>
          <t>Regulador - RM-053-460 - 5 KVA - Trifásico</t>
        </is>
      </c>
      <c r="D9" s="6" t="n">
        <v>47291.04</v>
      </c>
      <c r="E9" s="6">
        <f>D9/1.16</f>
        <v/>
      </c>
      <c r="F9" s="33">
        <f>SUM(E9:E14)</f>
        <v/>
      </c>
      <c r="G9" s="8" t="inlineStr">
        <is>
          <t>Semana 1 (06-mar)</t>
        </is>
      </c>
      <c r="H9" t="inlineStr">
        <is>
          <t>Hugo</t>
        </is>
      </c>
      <c r="J9" s="34" t="inlineStr">
        <is>
          <t>VENTAS MARZO</t>
        </is>
      </c>
      <c r="K9" s="3" t="n"/>
    </row>
    <row r="10" ht="15" customHeight="1">
      <c r="A10" t="inlineStr">
        <is>
          <t>03/03/2026</t>
        </is>
      </c>
      <c r="B10" s="5" t="inlineStr">
        <is>
          <t>Roman - OFFICE DEPOT</t>
        </is>
      </c>
      <c r="C10" s="5" t="inlineStr">
        <is>
          <t>Regulador - RM-042N-220 - 4 KVA - Bifásico</t>
        </is>
      </c>
      <c r="D10" s="6" t="n">
        <v>47291.04</v>
      </c>
      <c r="E10" s="6">
        <f>D10/1.16</f>
        <v/>
      </c>
      <c r="F10" s="10" t="n"/>
      <c r="G10" s="10" t="n"/>
      <c r="H10" t="inlineStr">
        <is>
          <t>Hugo</t>
        </is>
      </c>
      <c r="J10" s="35">
        <f>E26</f>
        <v/>
      </c>
      <c r="K10" s="3" t="n"/>
    </row>
    <row r="11" ht="15" customHeight="1">
      <c r="A11" t="inlineStr">
        <is>
          <t>03/03/2026</t>
        </is>
      </c>
      <c r="B11" s="5" t="inlineStr">
        <is>
          <t>Elizabeth - ACURA</t>
        </is>
      </c>
      <c r="C11" s="5" t="inlineStr">
        <is>
          <t>Reparación - Regulador - RM-053-380 - 5 KVA - Trifásico</t>
        </is>
      </c>
      <c r="D11" s="6" t="n">
        <v>50000</v>
      </c>
      <c r="E11" s="6">
        <f>D11/1.16</f>
        <v/>
      </c>
      <c r="F11" s="10" t="n"/>
      <c r="G11" s="10" t="n"/>
      <c r="H11" t="inlineStr">
        <is>
          <t>Hugo</t>
        </is>
      </c>
      <c r="J11" s="3" t="n"/>
      <c r="K11" s="3" t="n"/>
    </row>
    <row r="12" ht="15" customHeight="1">
      <c r="A12" t="inlineStr">
        <is>
          <t>03/03/2026</t>
        </is>
      </c>
      <c r="B12" s="5" t="inlineStr">
        <is>
          <t>Elizabeth - ACURA</t>
        </is>
      </c>
      <c r="C12" s="5" t="inlineStr">
        <is>
          <t>Mantenimiento - Regulador - RM-051-120 - 5 KVA - Monofásico</t>
        </is>
      </c>
      <c r="D12" s="6" t="n">
        <v>150000</v>
      </c>
      <c r="E12" s="6">
        <f>D12/1.16</f>
        <v/>
      </c>
      <c r="F12" s="10" t="n"/>
      <c r="G12" s="10" t="n"/>
      <c r="H12" t="inlineStr">
        <is>
          <t>Hugo</t>
        </is>
      </c>
      <c r="J12" s="36" t="inlineStr">
        <is>
          <t>Vendedor</t>
        </is>
      </c>
      <c r="K12" s="36" t="inlineStr">
        <is>
          <t>Comisiones</t>
        </is>
      </c>
    </row>
    <row r="13" ht="15" customHeight="1">
      <c r="A13" t="inlineStr">
        <is>
          <t>03/03/2026</t>
        </is>
      </c>
      <c r="B13" s="5" t="inlineStr">
        <is>
          <t>Elizabeth - ACURA</t>
        </is>
      </c>
      <c r="C13" s="5" t="inlineStr">
        <is>
          <t>Regulador - RM-051-127 - 5 KVA - Monofásico</t>
        </is>
      </c>
      <c r="D13" s="6" t="n">
        <v>19403.28</v>
      </c>
      <c r="E13" s="6">
        <f>D13/1.16</f>
        <v/>
      </c>
      <c r="F13" s="10" t="n"/>
      <c r="G13" s="10" t="n"/>
      <c r="H13" t="inlineStr">
        <is>
          <t>Hugo</t>
        </is>
      </c>
      <c r="J13" s="37" t="inlineStr">
        <is>
          <t>Hugo</t>
        </is>
      </c>
      <c r="K13" s="38">
        <f>IF(J10&lt;=690000,0,IF(J10&lt;=890000,J10*0.01,IF(J10&lt;=1090000,J10*0.015,IF(J10&lt;=1290000,J10*0.021,J10*0.0222))))</f>
        <v/>
      </c>
    </row>
    <row r="14" ht="15" customHeight="1">
      <c r="A14" s="18" t="inlineStr">
        <is>
          <t>04/03/2026</t>
        </is>
      </c>
      <c r="B14" s="19" t="inlineStr">
        <is>
          <t>Brandon Castro - REDTEAM</t>
        </is>
      </c>
      <c r="C14" s="19" t="inlineStr">
        <is>
          <t>Regulador - RM-042N-220 - 4 KVA - Bifásico</t>
        </is>
      </c>
      <c r="D14" s="20" t="n">
        <v>47291.04</v>
      </c>
      <c r="E14" s="20">
        <f>D14/1.16</f>
        <v/>
      </c>
      <c r="F14" s="21" t="n"/>
      <c r="G14" s="21" t="n"/>
      <c r="H14" s="18" t="inlineStr">
        <is>
          <t>Marlen</t>
        </is>
      </c>
      <c r="J14" s="37" t="inlineStr">
        <is>
          <t>Marlen</t>
        </is>
      </c>
      <c r="K14" s="38">
        <f>IF(J10&lt;=690000,0,IF(J10&lt;=890000,J10*0.005,IF(J10&lt;=1090000,J10*0.01,IF(J10&lt;=1290000,J10*0.014,J10*0.0148))))</f>
        <v/>
      </c>
    </row>
    <row r="15">
      <c r="A15" s="39" t="n"/>
      <c r="B15" s="39" t="n"/>
      <c r="C15" s="39" t="n"/>
      <c r="D15" s="40" t="inlineStr">
        <is>
          <t>TOTAL SIN IVA</t>
        </is>
      </c>
      <c r="E15" s="41">
        <f>SUM(E9:E14)</f>
        <v/>
      </c>
      <c r="F15" s="39" t="n"/>
      <c r="G15" s="39" t="n"/>
      <c r="H15" s="39" t="n"/>
    </row>
    <row r="16" ht="15" customHeight="1">
      <c r="A16" t="inlineStr">
        <is>
          <t>09/03/2026</t>
        </is>
      </c>
      <c r="B16" s="5" t="inlineStr">
        <is>
          <t>Emiliano Castro - ACME</t>
        </is>
      </c>
      <c r="C16" s="5" t="inlineStr">
        <is>
          <t>Anticipo - Regulador - RM-042-220 - 4 KVA - Bifásico</t>
        </is>
      </c>
      <c r="D16" s="6" t="n">
        <v>9786.059999999999</v>
      </c>
      <c r="E16" s="6">
        <f>D16/1.16</f>
        <v/>
      </c>
      <c r="F16" s="42">
        <f>SUM(E16:E24)</f>
        <v/>
      </c>
      <c r="G16" s="26" t="inlineStr">
        <is>
          <t>Semana 2 (13-mar)</t>
        </is>
      </c>
      <c r="H16" t="inlineStr">
        <is>
          <t>Hugo</t>
        </is>
      </c>
    </row>
    <row r="17" ht="15" customHeight="1">
      <c r="A17" t="inlineStr">
        <is>
          <t>09/03/2026</t>
        </is>
      </c>
      <c r="B17" s="5" t="inlineStr">
        <is>
          <t>Emiliano Castro - ACME</t>
        </is>
      </c>
      <c r="C17" s="5" t="inlineStr">
        <is>
          <t>Saldo - Regulador - RM-042-220 - 4 KVA - Bifásico</t>
        </is>
      </c>
      <c r="D17" s="6" t="n">
        <v>9786.059999999999</v>
      </c>
      <c r="E17" s="6">
        <f>D17/1.16</f>
        <v/>
      </c>
      <c r="H17" t="inlineStr">
        <is>
          <t>Hugo</t>
        </is>
      </c>
    </row>
    <row r="18" ht="15" customHeight="1">
      <c r="A18" t="inlineStr">
        <is>
          <t>11/03/2026</t>
        </is>
      </c>
      <c r="B18" s="5" t="inlineStr">
        <is>
          <t>Emiliano Castro - ACME</t>
        </is>
      </c>
      <c r="C18" s="5" t="inlineStr">
        <is>
          <t>Saldo - Regulador - RM-042N-220 - 4 KVA - Bifásico</t>
        </is>
      </c>
      <c r="D18" s="6" t="n">
        <v>23730.48372382365</v>
      </c>
      <c r="E18" s="6">
        <f>D18/1.16</f>
        <v/>
      </c>
      <c r="H18" t="inlineStr">
        <is>
          <t>Hugo</t>
        </is>
      </c>
    </row>
    <row r="19" ht="15" customHeight="1">
      <c r="A19" t="inlineStr">
        <is>
          <t>11/03/2026</t>
        </is>
      </c>
      <c r="B19" s="5" t="inlineStr">
        <is>
          <t>Emiliano Castro - ACME</t>
        </is>
      </c>
      <c r="C19" s="5" t="inlineStr">
        <is>
          <t>Anticipo - Regulador - RM-042N-220 - 4 KVA - Bifásico</t>
        </is>
      </c>
      <c r="D19" s="6" t="n">
        <v>23730.48372382365</v>
      </c>
      <c r="E19" s="6">
        <f>D19/1.16</f>
        <v/>
      </c>
      <c r="H19" t="inlineStr">
        <is>
          <t>Hugo</t>
        </is>
      </c>
    </row>
    <row r="20" ht="15" customHeight="1">
      <c r="A20" t="inlineStr">
        <is>
          <t>11/03/2026</t>
        </is>
      </c>
      <c r="B20" s="5" t="inlineStr">
        <is>
          <t>Emiliano Castro - ACME</t>
        </is>
      </c>
      <c r="C20" s="5" t="inlineStr">
        <is>
          <t>Saldo - Regulador - RM-042N-220 - 4 KVA - Bifásico</t>
        </is>
      </c>
      <c r="D20" s="6" t="n">
        <v>23730.48372382365</v>
      </c>
      <c r="E20" s="6">
        <f>D20/1.16</f>
        <v/>
      </c>
      <c r="H20" t="inlineStr">
        <is>
          <t>Hugo</t>
        </is>
      </c>
    </row>
    <row r="21" ht="15" customHeight="1">
      <c r="A21" t="inlineStr">
        <is>
          <t>11/03/2026</t>
        </is>
      </c>
      <c r="B21" s="5" t="inlineStr">
        <is>
          <t>Elizabeth - ACURA</t>
        </is>
      </c>
      <c r="C21" s="5" t="inlineStr">
        <is>
          <t>Anticipo - Regulador - RM-042N-220 - 4 KVA - Bifásico</t>
        </is>
      </c>
      <c r="D21" s="6" t="n">
        <v>23730.48372382365</v>
      </c>
      <c r="E21" s="6">
        <f>D21/1.16</f>
        <v/>
      </c>
      <c r="H21" t="inlineStr">
        <is>
          <t>Hugo</t>
        </is>
      </c>
    </row>
    <row r="22" ht="15" customHeight="1">
      <c r="A22" t="inlineStr">
        <is>
          <t>11/03/2026</t>
        </is>
      </c>
      <c r="B22" s="5" t="inlineStr">
        <is>
          <t>Elizabeth - ACURA</t>
        </is>
      </c>
      <c r="C22" s="5" t="inlineStr">
        <is>
          <t>Saldo - Regulador - RM-042N-220 - 4 KVA - Bifásico</t>
        </is>
      </c>
      <c r="D22" s="6" t="n">
        <v>23730.48372382365</v>
      </c>
      <c r="E22" s="6">
        <f>D22/1.16</f>
        <v/>
      </c>
      <c r="H22" t="inlineStr">
        <is>
          <t>Hugo</t>
        </is>
      </c>
    </row>
    <row r="23" ht="15" customHeight="1">
      <c r="A23" t="inlineStr">
        <is>
          <t>11/03/2026</t>
        </is>
      </c>
      <c r="B23" s="5" t="inlineStr">
        <is>
          <t>Elizabeth - ACURA</t>
        </is>
      </c>
      <c r="C23" s="5" t="inlineStr">
        <is>
          <t>Anticipo - Regulador - RM-042N-220 - 4 KVA - Bifásico</t>
        </is>
      </c>
      <c r="D23" s="6" t="n">
        <v>23730.48372382365</v>
      </c>
      <c r="E23" s="6">
        <f>D23/1.16</f>
        <v/>
      </c>
      <c r="H23" t="inlineStr">
        <is>
          <t>Hugo</t>
        </is>
      </c>
    </row>
    <row r="24" ht="15" customHeight="1">
      <c r="A24" t="inlineStr">
        <is>
          <t>11/03/2026</t>
        </is>
      </c>
      <c r="B24" s="5" t="inlineStr">
        <is>
          <t>Elizabeth - ACURA</t>
        </is>
      </c>
      <c r="C24" s="5" t="inlineStr">
        <is>
          <t>Saldo - Regulador - RM-042N-220 - 4 KVA - Bifásico</t>
        </is>
      </c>
      <c r="D24" s="6" t="n">
        <v>23730.48372382365</v>
      </c>
      <c r="E24" s="6">
        <f>D24/1.16</f>
        <v/>
      </c>
      <c r="H24" t="inlineStr">
        <is>
          <t>Hugo</t>
        </is>
      </c>
    </row>
    <row r="25">
      <c r="A25" s="39" t="n"/>
      <c r="B25" s="39" t="n"/>
      <c r="C25" s="39" t="n"/>
      <c r="D25" s="40" t="inlineStr">
        <is>
          <t>TOTAL SIN IVA</t>
        </is>
      </c>
      <c r="E25" s="41">
        <f>SUM(E16:E24)</f>
        <v/>
      </c>
      <c r="F25" s="39" t="n"/>
      <c r="G25" s="39" t="n"/>
      <c r="H25" s="39" t="n"/>
    </row>
    <row r="26">
      <c r="D26" s="27" t="inlineStr">
        <is>
          <t>VENTAS MARZO</t>
        </is>
      </c>
      <c r="E26" s="28">
        <f>E15+E25</f>
        <v/>
      </c>
    </row>
  </sheetData>
  <mergeCells count="16">
    <mergeCell ref="A5:A6"/>
    <mergeCell ref="G5:G6"/>
    <mergeCell ref="A3:H3"/>
    <mergeCell ref="H5:H6"/>
    <mergeCell ref="G9:G14"/>
    <mergeCell ref="F9:F14"/>
    <mergeCell ref="A2:H2"/>
    <mergeCell ref="D5:E5"/>
    <mergeCell ref="F16:F24"/>
    <mergeCell ref="J9:K9"/>
    <mergeCell ref="J10:K11"/>
    <mergeCell ref="F5:F6"/>
    <mergeCell ref="A8:H8"/>
    <mergeCell ref="B5:B6"/>
    <mergeCell ref="G16:G24"/>
    <mergeCell ref="C5:C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cols>
    <col width="11" customWidth="1" min="1" max="1"/>
    <col width="30" customWidth="1" min="2" max="2"/>
    <col width="35" customWidth="1" min="3" max="3"/>
    <col width="13" customWidth="1" min="4" max="4"/>
    <col width="12" customWidth="1" min="5" max="5"/>
    <col width="13" customWidth="1" min="6" max="6"/>
    <col width="13" customWidth="1" min="7" max="7"/>
    <col width="13" customWidth="1" min="8" max="8"/>
    <col width="12" customWidth="1" min="9" max="9"/>
    <col width="13" customWidth="1" min="10" max="10"/>
  </cols>
  <sheetData>
    <row r="1" ht="20" customHeight="1">
      <c r="A1" s="43" t="inlineStr">
        <is>
          <t>Comisions Mensual Equipo de Comercializacion 2026</t>
        </is>
      </c>
    </row>
    <row r="2">
      <c r="A2" s="44" t="inlineStr">
        <is>
          <t>Reguladores Electrónicos, Equipos de EC, UPS, No Breaks, Plantas, Transformadores, Instalaciones</t>
        </is>
      </c>
    </row>
    <row r="4" ht="21" customHeight="1">
      <c r="A4" s="45" t="inlineStr">
        <is>
          <t>Comisiones Equipos de Comercializacion MARZO</t>
        </is>
      </c>
      <c r="B4" s="3" t="n"/>
      <c r="C4" s="3" t="n"/>
      <c r="D4" s="3" t="n"/>
      <c r="E4" s="3" t="n"/>
      <c r="F4" s="3" t="n"/>
      <c r="G4" s="3" t="n"/>
      <c r="H4" s="3" t="n"/>
      <c r="I4" s="3" t="n"/>
      <c r="J4" s="3" t="n"/>
    </row>
    <row r="5">
      <c r="A5" s="46" t="inlineStr">
        <is>
          <t>Fecha</t>
        </is>
      </c>
      <c r="B5" s="46" t="inlineStr">
        <is>
          <t>Cliente</t>
        </is>
      </c>
      <c r="C5" s="46" t="inlineStr">
        <is>
          <t>Concepto</t>
        </is>
      </c>
      <c r="D5" s="46" t="inlineStr">
        <is>
          <t>Deposito</t>
        </is>
      </c>
      <c r="E5" s="3" t="n"/>
      <c r="F5" s="46" t="inlineStr">
        <is>
          <t>Precio Proveedor</t>
        </is>
      </c>
      <c r="G5" s="3" t="n"/>
      <c r="H5" s="47" t="inlineStr">
        <is>
          <t>Base para
Comisión</t>
        </is>
      </c>
      <c r="I5" s="47" t="inlineStr">
        <is>
          <t>Comision</t>
        </is>
      </c>
      <c r="J5" s="47" t="inlineStr">
        <is>
          <t>Vendedor</t>
        </is>
      </c>
    </row>
    <row r="6">
      <c r="A6" s="3" t="n"/>
      <c r="B6" s="3" t="n"/>
      <c r="C6" s="3" t="n"/>
      <c r="D6" s="46" t="inlineStr">
        <is>
          <t>Con IVA</t>
        </is>
      </c>
      <c r="E6" s="46" t="inlineStr">
        <is>
          <t>Sin IVA</t>
        </is>
      </c>
      <c r="F6" s="46" t="inlineStr">
        <is>
          <t>Con IVA</t>
        </is>
      </c>
      <c r="G6" s="46" t="inlineStr">
        <is>
          <t>Sin IVA</t>
        </is>
      </c>
      <c r="H6" s="3" t="n"/>
      <c r="I6" s="3" t="n"/>
      <c r="J6" s="3" t="n"/>
    </row>
    <row r="7">
      <c r="A7" s="48" t="inlineStr">
        <is>
          <t>11/03/2026</t>
        </is>
      </c>
      <c r="B7" s="49" t="inlineStr">
        <is>
          <t>Emiliano Castro - ACME</t>
        </is>
      </c>
      <c r="C7" s="49" t="inlineStr">
        <is>
          <t>Saldo - UPS - UPS-1000VA - 1000VA</t>
        </is>
      </c>
      <c r="D7" s="50" t="n">
        <v>4613.036276176354</v>
      </c>
      <c r="E7" s="50">
        <f>D7/1.16</f>
        <v/>
      </c>
      <c r="F7" s="50" t="n">
        <v>4500</v>
      </c>
      <c r="G7" s="50">
        <f>F7/1.16</f>
        <v/>
      </c>
      <c r="H7" s="50">
        <f>E7-G7</f>
        <v/>
      </c>
      <c r="I7" s="50">
        <f>H7*0.05</f>
        <v/>
      </c>
      <c r="J7" s="51" t="inlineStr">
        <is>
          <t>Hugo</t>
        </is>
      </c>
    </row>
    <row r="8">
      <c r="A8" s="48" t="inlineStr">
        <is>
          <t>11/03/2026</t>
        </is>
      </c>
      <c r="B8" s="49" t="inlineStr">
        <is>
          <t>Emiliano Castro - ACME</t>
        </is>
      </c>
      <c r="C8" s="49" t="inlineStr">
        <is>
          <t>Anticipo - UPS - UPS-1000VA - 1000VA</t>
        </is>
      </c>
      <c r="D8" s="50" t="n">
        <v>4613.036276176354</v>
      </c>
      <c r="E8" s="50">
        <f>D8/1.16</f>
        <v/>
      </c>
      <c r="F8" s="50" t="n">
        <v>4500</v>
      </c>
      <c r="G8" s="50">
        <f>F8/1.16</f>
        <v/>
      </c>
      <c r="H8" s="50">
        <f>E8-G8</f>
        <v/>
      </c>
      <c r="I8" s="50">
        <f>H8*0.05</f>
        <v/>
      </c>
      <c r="J8" s="10" t="n"/>
    </row>
    <row r="9">
      <c r="A9" s="48" t="inlineStr">
        <is>
          <t>11/03/2026</t>
        </is>
      </c>
      <c r="B9" s="49" t="inlineStr">
        <is>
          <t>Emiliano Castro - ACME</t>
        </is>
      </c>
      <c r="C9" s="49" t="inlineStr">
        <is>
          <t>Saldo - UPS - UPS-1000VA - 1000VA</t>
        </is>
      </c>
      <c r="D9" s="50" t="n">
        <v>4613.036276176354</v>
      </c>
      <c r="E9" s="50">
        <f>D9/1.16</f>
        <v/>
      </c>
      <c r="F9" s="50" t="n">
        <v>4500</v>
      </c>
      <c r="G9" s="50">
        <f>F9/1.16</f>
        <v/>
      </c>
      <c r="H9" s="50">
        <f>E9-G9</f>
        <v/>
      </c>
      <c r="I9" s="50">
        <f>H9*0.05</f>
        <v/>
      </c>
      <c r="J9" s="10" t="n"/>
    </row>
    <row r="10">
      <c r="A10" s="48" t="inlineStr">
        <is>
          <t>11/03/2026</t>
        </is>
      </c>
      <c r="B10" s="49" t="inlineStr">
        <is>
          <t>Elizabeth - ACURA</t>
        </is>
      </c>
      <c r="C10" s="49" t="inlineStr">
        <is>
          <t>Anticipo - UPS - UPS-1000VA - 1000VA</t>
        </is>
      </c>
      <c r="D10" s="50" t="n">
        <v>4613.036276176354</v>
      </c>
      <c r="E10" s="50">
        <f>D10/1.16</f>
        <v/>
      </c>
      <c r="F10" s="50" t="n">
        <v>4500</v>
      </c>
      <c r="G10" s="50">
        <f>F10/1.16</f>
        <v/>
      </c>
      <c r="H10" s="50">
        <f>E10-G10</f>
        <v/>
      </c>
      <c r="I10" s="50">
        <f>H10*0.05</f>
        <v/>
      </c>
      <c r="J10" s="10" t="n"/>
    </row>
    <row r="11">
      <c r="A11" s="48" t="inlineStr">
        <is>
          <t>11/03/2026</t>
        </is>
      </c>
      <c r="B11" s="49" t="inlineStr">
        <is>
          <t>Elizabeth - ACURA</t>
        </is>
      </c>
      <c r="C11" s="49" t="inlineStr">
        <is>
          <t>Saldo - UPS - UPS-1000VA - 1000VA</t>
        </is>
      </c>
      <c r="D11" s="50" t="n">
        <v>4613.036276176354</v>
      </c>
      <c r="E11" s="50">
        <f>D11/1.16</f>
        <v/>
      </c>
      <c r="F11" s="50" t="n">
        <v>4500</v>
      </c>
      <c r="G11" s="50">
        <f>F11/1.16</f>
        <v/>
      </c>
      <c r="H11" s="50">
        <f>E11-G11</f>
        <v/>
      </c>
      <c r="I11" s="50">
        <f>H11*0.05</f>
        <v/>
      </c>
      <c r="J11" s="10" t="n"/>
    </row>
    <row r="12">
      <c r="A12" s="48" t="inlineStr">
        <is>
          <t>11/03/2026</t>
        </is>
      </c>
      <c r="B12" s="49" t="inlineStr">
        <is>
          <t>Elizabeth - ACURA</t>
        </is>
      </c>
      <c r="C12" s="49" t="inlineStr">
        <is>
          <t>Anticipo - UPS - UPS-1000VA - 1000VA</t>
        </is>
      </c>
      <c r="D12" s="50" t="n">
        <v>4613.036276176354</v>
      </c>
      <c r="E12" s="50">
        <f>D12/1.16</f>
        <v/>
      </c>
      <c r="F12" s="50" t="n">
        <v>4500</v>
      </c>
      <c r="G12" s="50">
        <f>F12/1.16</f>
        <v/>
      </c>
      <c r="H12" s="50">
        <f>E12-G12</f>
        <v/>
      </c>
      <c r="I12" s="50">
        <f>H12*0.05</f>
        <v/>
      </c>
      <c r="J12" s="10" t="n"/>
    </row>
    <row r="13">
      <c r="A13" s="48" t="inlineStr">
        <is>
          <t>11/03/2026</t>
        </is>
      </c>
      <c r="B13" s="49" t="inlineStr">
        <is>
          <t>Elizabeth - ACURA</t>
        </is>
      </c>
      <c r="C13" s="49" t="inlineStr">
        <is>
          <t>Saldo - UPS - UPS-1000VA - 1000VA</t>
        </is>
      </c>
      <c r="D13" s="50" t="n">
        <v>4613.036276176354</v>
      </c>
      <c r="E13" s="50">
        <f>D13/1.16</f>
        <v/>
      </c>
      <c r="F13" s="50" t="n">
        <v>4500</v>
      </c>
      <c r="G13" s="50">
        <f>F13/1.16</f>
        <v/>
      </c>
      <c r="H13" s="50">
        <f>E13-G13</f>
        <v/>
      </c>
      <c r="I13" s="50">
        <f>H13*0.05</f>
        <v/>
      </c>
      <c r="J13" s="10" t="n"/>
    </row>
    <row r="14">
      <c r="A14" s="52" t="n"/>
      <c r="B14" s="52" t="n"/>
      <c r="C14" s="52" t="n"/>
      <c r="D14" s="52" t="n"/>
      <c r="E14" s="52" t="n"/>
      <c r="F14" s="52" t="n"/>
      <c r="G14" s="52" t="n"/>
      <c r="H14" s="53" t="inlineStr">
        <is>
          <t>TOTAL</t>
        </is>
      </c>
      <c r="I14" s="54">
        <f>SUM(I7:I13)</f>
        <v/>
      </c>
      <c r="J14" s="21" t="n"/>
    </row>
    <row r="15">
      <c r="A15" s="55" t="inlineStr">
        <is>
          <t>04/03/2026</t>
        </is>
      </c>
      <c r="B15" s="56" t="inlineStr">
        <is>
          <t>Roman - OFFICE DEPOT</t>
        </is>
      </c>
      <c r="C15" s="56" t="inlineStr">
        <is>
          <t>UPS-1000VA - 1000VA</t>
        </is>
      </c>
      <c r="D15" s="57" t="n">
        <v>8352</v>
      </c>
      <c r="E15" s="57">
        <f>D15/1.16</f>
        <v/>
      </c>
      <c r="F15" s="57" t="n">
        <v>0</v>
      </c>
      <c r="G15" s="57">
        <f>F15/1.16</f>
        <v/>
      </c>
      <c r="H15" s="57">
        <f>E15-G15</f>
        <v/>
      </c>
      <c r="I15" s="57">
        <f>H15*0.1</f>
        <v/>
      </c>
      <c r="J15" s="58" t="inlineStr">
        <is>
          <t>Marlen</t>
        </is>
      </c>
    </row>
    <row r="16">
      <c r="A16" s="59" t="n"/>
      <c r="B16" s="59" t="n"/>
      <c r="C16" s="59" t="n"/>
      <c r="D16" s="59" t="n"/>
      <c r="E16" s="59" t="n"/>
      <c r="F16" s="59" t="n"/>
      <c r="G16" s="59" t="n"/>
      <c r="H16" s="60" t="inlineStr">
        <is>
          <t>TOTAL</t>
        </is>
      </c>
      <c r="I16" s="61">
        <f>SUM(I15:I15)</f>
        <v/>
      </c>
      <c r="J16" s="21" t="n"/>
    </row>
  </sheetData>
  <mergeCells count="13">
    <mergeCell ref="A5:A6"/>
    <mergeCell ref="J15:J16"/>
    <mergeCell ref="A1:J1"/>
    <mergeCell ref="H5:H6"/>
    <mergeCell ref="J5:J6"/>
    <mergeCell ref="J7:J14"/>
    <mergeCell ref="F5:G5"/>
    <mergeCell ref="D5:E5"/>
    <mergeCell ref="A4:J4"/>
    <mergeCell ref="A2:J2"/>
    <mergeCell ref="B5:B6"/>
    <mergeCell ref="I5:I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2026-03-12T05:42:12Z</dcterms:created>
  <dcterms:modified xsi:type="dcterms:W3CDTF">2026-03-12T05:42:12Z</dcterms:modified>
</cp:coreProperties>
</file>