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b val="1"/>
      <sz val="11"/>
    </font>
    <font>
      <i val="1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2" fillId="11" borderId="0" applyAlignment="1" pivotButton="0" quotePrefix="0" xfId="0">
      <alignment horizontal="right" vertical="center"/>
    </xf>
    <xf numFmtId="164" fontId="2" fillId="11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8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1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9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>
        <f>SUM(E8:E8)</f>
        <v/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>
        <f>SUM(E8:E8)</f>
        <v/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>
        <f>SUM(E10:E14)</f>
        <v/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>
        <f>SUMIF(H8:H47,J10,E8:E47)</f>
        <v/>
      </c>
      <c r="L10" s="16">
        <f>K10/E$48</f>
        <v/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>
        <f>E48</f>
        <v/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>
        <f>SUM(E10:E14)</f>
        <v/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>
        <f>SUM(E16:E19)</f>
        <v/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>
        <f>SUM(E16:E19)</f>
        <v/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>
        <f>SUM(E21:E25)</f>
        <v/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>
        <f>SUM(E21:E25)</f>
        <v/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>
        <f>SUM(E27:E46)</f>
        <v/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>
        <f>SUM(E27:E46)</f>
        <v/>
      </c>
      <c r="F47" s="10" t="n"/>
      <c r="G47" s="10" t="n"/>
      <c r="H47" s="10" t="n"/>
    </row>
    <row r="48">
      <c r="D48" s="20" t="inlineStr">
        <is>
          <t>VENTAS ENERO</t>
        </is>
      </c>
      <c r="E48" s="21">
        <f>E9+E15+E20+E26+E47</f>
        <v/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>
        <f>SUM(E51:E51)</f>
        <v/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>
        <f>SUM(E51:E51)</f>
        <v/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>
        <f>SUM(E53:E55)</f>
        <v/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>
        <f>SUMIF(H51:H77,J53,E51:E77)</f>
        <v/>
      </c>
      <c r="L53" s="16">
        <f>K53/E$78</f>
        <v/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>
        <f>SUMIF(H51:H77,J54,E51:E77)</f>
        <v/>
      </c>
      <c r="L54" s="16">
        <f>K54/E$78</f>
        <v/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>
        <f>E78</f>
        <v/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>
        <f>SUM(E53:E55)</f>
        <v/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>
        <f>SUM(E57:E60)</f>
        <v/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>
        <f>SUM(E57:E60)</f>
        <v/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>
        <f>SUM(E62:E76)</f>
        <v/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>
        <f>SUM(E62:E76)</f>
        <v/>
      </c>
      <c r="F77" s="10" t="n"/>
      <c r="G77" s="10" t="n"/>
      <c r="H77" s="10" t="n"/>
    </row>
    <row r="78">
      <c r="D78" s="20" t="inlineStr">
        <is>
          <t>VENTAS FEBRERO</t>
        </is>
      </c>
      <c r="E78" s="21">
        <f>E52+E56+E61+E77</f>
        <v/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60" customWidth="1" min="3" max="3"/>
    <col width="16" customWidth="1" min="4" max="4"/>
    <col width="22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9" customWidth="1" min="11" max="11"/>
    <col width="11" customWidth="1" min="12" max="12"/>
  </cols>
  <sheetData>
    <row r="1"/>
    <row r="2">
      <c r="A2" s="22" t="inlineStr">
        <is>
          <t>Comisiones Anual 2026</t>
        </is>
      </c>
    </row>
    <row r="3"/>
    <row r="4"/>
    <row r="5">
      <c r="A5" s="23" t="inlineStr">
        <is>
          <t>Fecha</t>
        </is>
      </c>
      <c r="B5" s="23" t="inlineStr">
        <is>
          <t>Cliente</t>
        </is>
      </c>
      <c r="C5" s="23" t="inlineStr">
        <is>
          <t>Concepto</t>
        </is>
      </c>
      <c r="D5" s="23" t="inlineStr">
        <is>
          <t>DEPÓSITO</t>
        </is>
      </c>
      <c r="E5" s="3" t="n"/>
      <c r="F5" s="23" t="inlineStr">
        <is>
          <t>Total</t>
        </is>
      </c>
      <c r="G5" s="23" t="inlineStr">
        <is>
          <t>Semana</t>
        </is>
      </c>
      <c r="H5" s="23" t="inlineStr">
        <is>
          <t>Vendedor</t>
        </is>
      </c>
    </row>
    <row r="6">
      <c r="A6" s="3" t="n"/>
      <c r="B6" s="3" t="n"/>
      <c r="C6" s="3" t="n"/>
      <c r="D6" s="23" t="inlineStr">
        <is>
          <t>Con IVA</t>
        </is>
      </c>
      <c r="E6" s="23" t="inlineStr">
        <is>
          <t>Sin IVA</t>
        </is>
      </c>
      <c r="F6" s="3" t="n"/>
      <c r="G6" s="3" t="n"/>
      <c r="H6" s="3" t="n"/>
    </row>
    <row r="7"/>
    <row r="8" ht="30" customHeight="1">
      <c r="A8" s="24" t="inlineStr">
        <is>
          <t>ENERO</t>
        </is>
      </c>
    </row>
    <row r="9" ht="15" customHeight="1">
      <c r="A9" t="inlineStr">
        <is>
          <t>01/01/2026</t>
        </is>
      </c>
      <c r="B9" s="5" t="inlineStr">
        <is>
          <t>Sofía Morales - Toyota</t>
        </is>
      </c>
      <c r="C9" s="5" t="inlineStr">
        <is>
          <t>RM-041-120 - 4 KVA - Monofásico - 120 V</t>
        </is>
      </c>
      <c r="D9" s="6" t="n">
        <v>29580</v>
      </c>
      <c r="E9" s="6">
        <f>D9/1.16</f>
        <v/>
      </c>
      <c r="F9" s="25">
        <f>SUM(E9:E9)</f>
        <v/>
      </c>
      <c r="G9" s="8" t="inlineStr">
        <is>
          <t>Semana 1 (02-ene)</t>
        </is>
      </c>
      <c r="H9" t="inlineStr">
        <is>
          <t>Hugo</t>
        </is>
      </c>
      <c r="J9" s="9" t="inlineStr">
        <is>
          <t>ENERO</t>
        </is>
      </c>
    </row>
    <row r="10">
      <c r="A10" s="26" t="n"/>
      <c r="B10" s="26" t="n"/>
      <c r="C10" s="26" t="n"/>
      <c r="D10" s="27" t="inlineStr">
        <is>
          <t>TOTAL SIN IVA</t>
        </is>
      </c>
      <c r="E10" s="28">
        <f>SUM(E9:E9)</f>
        <v/>
      </c>
      <c r="F10" s="26" t="n"/>
      <c r="G10" s="26" t="n"/>
      <c r="H10" s="26" t="n"/>
      <c r="J10" s="13" t="inlineStr">
        <is>
          <t>VENDEDOR</t>
        </is>
      </c>
      <c r="K10" s="13" t="inlineStr">
        <is>
          <t>VENTAS</t>
        </is>
      </c>
      <c r="L10" s="13" t="inlineStr">
        <is>
          <t>%</t>
        </is>
      </c>
    </row>
    <row r="11" ht="15" customHeight="1">
      <c r="A11" t="inlineStr">
        <is>
          <t>03/01/2026</t>
        </is>
      </c>
      <c r="B11" s="5" t="inlineStr">
        <is>
          <t>Miguel Ángel Ruiz - KIA Motors</t>
        </is>
      </c>
      <c r="C11" s="5" t="inlineStr">
        <is>
          <t>RM-101-120 - 10 KVA - Monofásico - 120 V</t>
        </is>
      </c>
      <c r="D11" s="6" t="n">
        <v>52200</v>
      </c>
      <c r="E11" s="6">
        <f>D11/1.16</f>
        <v/>
      </c>
      <c r="F11" s="25">
        <f>SUM(E11:E15)</f>
        <v/>
      </c>
      <c r="G11" s="8" t="inlineStr">
        <is>
          <t>Semana 2 (09-ene)</t>
        </is>
      </c>
      <c r="H11" t="inlineStr">
        <is>
          <t>Hugo</t>
        </is>
      </c>
      <c r="J11" s="14" t="inlineStr">
        <is>
          <t>Hugo</t>
        </is>
      </c>
      <c r="K11" s="15">
        <f>SUMIF(H9:H48,J11,E9:E48)</f>
        <v/>
      </c>
      <c r="L11" s="16">
        <f>K11/E$49</f>
        <v/>
      </c>
    </row>
    <row r="12" ht="15" customHeight="1">
      <c r="A12" t="inlineStr">
        <is>
          <t>03/01/2026</t>
        </is>
      </c>
      <c r="B12" s="5" t="inlineStr">
        <is>
          <t>María López - General Motors</t>
        </is>
      </c>
      <c r="C12" s="5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J12" s="17" t="inlineStr">
        <is>
          <t>Total</t>
        </is>
      </c>
      <c r="K12" s="18">
        <f>E49</f>
        <v/>
      </c>
      <c r="L12" s="19" t="n">
        <v>1</v>
      </c>
    </row>
    <row r="13" ht="15" customHeight="1">
      <c r="A13" t="inlineStr">
        <is>
          <t>03/01/2026</t>
        </is>
      </c>
      <c r="B13" s="5" t="inlineStr">
        <is>
          <t>Miguel Ángel Ruiz - KIA Motors</t>
        </is>
      </c>
      <c r="C13" s="5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03/01/2026</t>
        </is>
      </c>
      <c r="B14" s="5" t="inlineStr">
        <is>
          <t>Carlos Ramírez - Volkswagen México</t>
        </is>
      </c>
      <c r="C14" s="5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07/01/2026</t>
        </is>
      </c>
      <c r="B15" s="5" t="inlineStr">
        <is>
          <t>María López - General Motors</t>
        </is>
      </c>
      <c r="C15" s="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</row>
    <row r="16">
      <c r="A16" s="26" t="n"/>
      <c r="B16" s="26" t="n"/>
      <c r="C16" s="26" t="n"/>
      <c r="D16" s="27" t="inlineStr">
        <is>
          <t>TOTAL SIN IVA</t>
        </is>
      </c>
      <c r="E16" s="28">
        <f>SUM(E11:E15)</f>
        <v/>
      </c>
      <c r="F16" s="26" t="n"/>
      <c r="G16" s="26" t="n"/>
      <c r="H16" s="26" t="n"/>
    </row>
    <row r="17" ht="15" customHeight="1">
      <c r="A17" t="inlineStr">
        <is>
          <t>10/01/2026</t>
        </is>
      </c>
      <c r="B17" s="5" t="inlineStr">
        <is>
          <t>Miguel Ángel Ruiz - KIA Motors</t>
        </is>
      </c>
      <c r="C17" s="5" t="inlineStr">
        <is>
          <t>RM-153-220 - 15 KVA - Trifásico - 220 V</t>
        </is>
      </c>
      <c r="D17" s="6" t="n">
        <v>32480</v>
      </c>
      <c r="E17" s="6">
        <f>D17/1.16</f>
        <v/>
      </c>
      <c r="F17" s="25">
        <f>SUM(E17:E20)</f>
        <v/>
      </c>
      <c r="G17" s="8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12/01/2026</t>
        </is>
      </c>
      <c r="B18" s="5" t="inlineStr">
        <is>
          <t>Carlos Ramírez - Volkswagen México</t>
        </is>
      </c>
      <c r="C18" s="5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13/01/2026</t>
        </is>
      </c>
      <c r="B19" s="5" t="inlineStr">
        <is>
          <t>María López - General Motors</t>
        </is>
      </c>
      <c r="C19" s="5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15/01/2026</t>
        </is>
      </c>
      <c r="B20" s="5" t="inlineStr">
        <is>
          <t>María López - General Motors</t>
        </is>
      </c>
      <c r="C20" s="5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</row>
    <row r="21">
      <c r="A21" s="26" t="n"/>
      <c r="B21" s="26" t="n"/>
      <c r="C21" s="26" t="n"/>
      <c r="D21" s="27" t="inlineStr">
        <is>
          <t>TOTAL SIN IVA</t>
        </is>
      </c>
      <c r="E21" s="28">
        <f>SUM(E17:E20)</f>
        <v/>
      </c>
      <c r="F21" s="26" t="n"/>
      <c r="G21" s="26" t="n"/>
      <c r="H21" s="26" t="n"/>
    </row>
    <row r="22" ht="15" customHeight="1">
      <c r="A22" t="inlineStr">
        <is>
          <t>18/01/2026</t>
        </is>
      </c>
      <c r="B22" s="5" t="inlineStr">
        <is>
          <t>Sofía Morales - Toyota</t>
        </is>
      </c>
      <c r="C22" s="5" t="inlineStr">
        <is>
          <t>RM-101-120 - 10 KVA - Monofásico - 120 V</t>
        </is>
      </c>
      <c r="D22" s="6" t="n">
        <v>52200</v>
      </c>
      <c r="E22" s="6">
        <f>D22/1.16</f>
        <v/>
      </c>
      <c r="F22" s="25">
        <f>SUM(E22:E26)</f>
        <v/>
      </c>
      <c r="G22" s="8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18/01/2026</t>
        </is>
      </c>
      <c r="B24" s="5" t="inlineStr">
        <is>
          <t>Miguel Ángel Ruiz - KIA Motors</t>
        </is>
      </c>
      <c r="C24" s="5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19/01/2026</t>
        </is>
      </c>
      <c r="B25" s="5" t="inlineStr">
        <is>
          <t>Gabriela Fernández - Ford Motor Company</t>
        </is>
      </c>
      <c r="C25" s="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20/01/2026</t>
        </is>
      </c>
      <c r="B26" s="5" t="inlineStr">
        <is>
          <t>Carlos Ramírez - Volkswagen México</t>
        </is>
      </c>
      <c r="C26" s="5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</row>
    <row r="27">
      <c r="A27" s="26" t="n"/>
      <c r="B27" s="26" t="n"/>
      <c r="C27" s="26" t="n"/>
      <c r="D27" s="27" t="inlineStr">
        <is>
          <t>TOTAL SIN IVA</t>
        </is>
      </c>
      <c r="E27" s="28">
        <f>SUM(E22:E26)</f>
        <v/>
      </c>
      <c r="F27" s="26" t="n"/>
      <c r="G27" s="26" t="n"/>
      <c r="H27" s="26" t="n"/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25">
        <f>SUM(E28:E47)</f>
        <v/>
      </c>
      <c r="G28" s="8" t="inlineStr">
        <is>
          <t>Semana 5 (30-ene)</t>
        </is>
      </c>
      <c r="H28" t="inlineStr">
        <is>
          <t>Hugo</t>
        </is>
      </c>
    </row>
    <row r="29" ht="15" customHeight="1">
      <c r="A29" t="inlineStr">
        <is>
          <t>28/01/2026</t>
        </is>
      </c>
      <c r="B29" s="5" t="inlineStr">
        <is>
          <t>Hugo Hernandez - Nissan</t>
        </is>
      </c>
      <c r="C29" s="5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</row>
    <row r="30" ht="30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Elizabeth - ACURA</t>
        </is>
      </c>
      <c r="C32" s="5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Hugo Hernandez - Nissan</t>
        </is>
      </c>
      <c r="C33" s="5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Elizabeth - ACURA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Hugo Hernandez - Nissan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Elizabeth - ACURA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28/01/2026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29/01/2026</t>
        </is>
      </c>
      <c r="B45" s="5" t="inlineStr">
        <is>
          <t>Cliente</t>
        </is>
      </c>
      <c r="C45" s="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Hugo Hernandez - Nissan</t>
        </is>
      </c>
      <c r="C46" s="5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30/01/2026</t>
        </is>
      </c>
      <c r="B47" s="5" t="inlineStr">
        <is>
          <t>Elizabeth - ACURA</t>
        </is>
      </c>
      <c r="C47" s="5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</row>
    <row r="48">
      <c r="A48" s="26" t="n"/>
      <c r="B48" s="26" t="n"/>
      <c r="C48" s="26" t="n"/>
      <c r="D48" s="27" t="inlineStr">
        <is>
          <t>TOTAL SIN IVA</t>
        </is>
      </c>
      <c r="E48" s="28">
        <f>SUM(E28:E47)</f>
        <v/>
      </c>
      <c r="F48" s="26" t="n"/>
      <c r="G48" s="26" t="n"/>
      <c r="H48" s="26" t="n"/>
    </row>
    <row r="49">
      <c r="D49" s="29" t="inlineStr">
        <is>
          <t>VENTAS ENERO</t>
        </is>
      </c>
      <c r="E49" s="30">
        <f>E10+E16+E21+E27+E48</f>
        <v/>
      </c>
    </row>
    <row r="50"/>
    <row r="51" ht="30" customHeight="1">
      <c r="A51" s="24" t="inlineStr">
        <is>
          <t>FEBRERO</t>
        </is>
      </c>
    </row>
    <row r="52" ht="15" customHeight="1">
      <c r="A52" t="inlineStr">
        <is>
          <t>01/02/2026</t>
        </is>
      </c>
      <c r="B52" s="5" t="inlineStr">
        <is>
          <t>Carlos Ramírez - Volkswagen México</t>
        </is>
      </c>
      <c r="C52" s="5" t="inlineStr">
        <is>
          <t>RM-041-120 - 4 KVA - Monofásico - 120 V</t>
        </is>
      </c>
      <c r="D52" s="6" t="n">
        <v>8874</v>
      </c>
      <c r="E52" s="6">
        <f>D52/1.16</f>
        <v/>
      </c>
      <c r="F52" s="25">
        <f>SUM(E52:E52)</f>
        <v/>
      </c>
      <c r="G52" s="8" t="inlineStr">
        <is>
          <t>Semana 1 (06-feb)</t>
        </is>
      </c>
      <c r="H52" t="inlineStr">
        <is>
          <t>Hugo</t>
        </is>
      </c>
      <c r="J52" s="9" t="inlineStr">
        <is>
          <t>FEBRERO</t>
        </is>
      </c>
    </row>
    <row r="53">
      <c r="A53" s="26" t="n"/>
      <c r="B53" s="26" t="n"/>
      <c r="C53" s="26" t="n"/>
      <c r="D53" s="27" t="inlineStr">
        <is>
          <t>TOTAL SIN IVA</t>
        </is>
      </c>
      <c r="E53" s="28">
        <f>SUM(E52:E52)</f>
        <v/>
      </c>
      <c r="F53" s="26" t="n"/>
      <c r="G53" s="26" t="n"/>
      <c r="H53" s="26" t="n"/>
      <c r="J53" s="13" t="inlineStr">
        <is>
          <t>VENDEDOR</t>
        </is>
      </c>
      <c r="K53" s="13" t="inlineStr">
        <is>
          <t>VENTAS</t>
        </is>
      </c>
      <c r="L53" s="13" t="inlineStr">
        <is>
          <t>%</t>
        </is>
      </c>
    </row>
    <row r="54" ht="15" customHeight="1">
      <c r="A54" t="inlineStr">
        <is>
          <t>11/02/2026</t>
        </is>
      </c>
      <c r="B54" s="5" t="inlineStr">
        <is>
          <t>José García - BMW Group</t>
        </is>
      </c>
      <c r="C54" s="5" t="inlineStr">
        <is>
          <t>RM-153-220 - 15 KVA - Trifásico - 220 V</t>
        </is>
      </c>
      <c r="D54" s="6" t="n">
        <v>64960</v>
      </c>
      <c r="E54" s="6">
        <f>D54/1.16</f>
        <v/>
      </c>
      <c r="F54" s="25">
        <f>SUM(E54:E56)</f>
        <v/>
      </c>
      <c r="G54" s="8" t="inlineStr">
        <is>
          <t>Semana 2 (13-feb)</t>
        </is>
      </c>
      <c r="H54" t="inlineStr">
        <is>
          <t>Hugo</t>
        </is>
      </c>
      <c r="J54" s="14" t="inlineStr">
        <is>
          <t>Hugo</t>
        </is>
      </c>
      <c r="K54" s="15">
        <f>SUMIF(H52:H78,J54,E52:E78)</f>
        <v/>
      </c>
      <c r="L54" s="16">
        <f>K54/E$79</f>
        <v/>
      </c>
    </row>
    <row r="55" ht="15" customHeight="1">
      <c r="A55" t="inlineStr">
        <is>
          <t>12/02/2026</t>
        </is>
      </c>
      <c r="B55" s="5" t="inlineStr">
        <is>
          <t>Hugo Hernández - Nissan Mexicana</t>
        </is>
      </c>
      <c r="C55" s="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J55" s="14" t="inlineStr">
        <is>
          <t>Marlen</t>
        </is>
      </c>
      <c r="K55" s="15">
        <f>SUMIF(H52:H78,J55,E52:E78)</f>
        <v/>
      </c>
      <c r="L55" s="16">
        <f>K55/E$79</f>
        <v/>
      </c>
    </row>
    <row r="56" ht="15" customHeight="1">
      <c r="A56" t="inlineStr">
        <is>
          <t>13/02/2026</t>
        </is>
      </c>
      <c r="B56" s="5" t="inlineStr">
        <is>
          <t>Gabriela Fernández - Ford Motor Company</t>
        </is>
      </c>
      <c r="C56" s="5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J56" s="17" t="inlineStr">
        <is>
          <t>Total</t>
        </is>
      </c>
      <c r="K56" s="18">
        <f>E79</f>
        <v/>
      </c>
      <c r="L56" s="19" t="n">
        <v>1</v>
      </c>
    </row>
    <row r="57">
      <c r="A57" s="26" t="n"/>
      <c r="B57" s="26" t="n"/>
      <c r="C57" s="26" t="n"/>
      <c r="D57" s="27" t="inlineStr">
        <is>
          <t>TOTAL SIN IVA</t>
        </is>
      </c>
      <c r="E57" s="28">
        <f>SUM(E54:E56)</f>
        <v/>
      </c>
      <c r="F57" s="26" t="n"/>
      <c r="G57" s="26" t="n"/>
      <c r="H57" s="26" t="n"/>
    </row>
    <row r="58" ht="15" customHeight="1">
      <c r="A58" t="inlineStr">
        <is>
          <t>14/02/2026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19209.6</v>
      </c>
      <c r="E58" s="6">
        <f>D58/1.16</f>
        <v/>
      </c>
      <c r="F58" s="25">
        <f>SUM(E58:E61)</f>
        <v/>
      </c>
      <c r="G58" s="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16/02/2026</t>
        </is>
      </c>
      <c r="B59" s="5" t="inlineStr">
        <is>
          <t>José García - BMW Group</t>
        </is>
      </c>
      <c r="C59" s="5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18/02/2026</t>
        </is>
      </c>
      <c r="B60" s="5" t="inlineStr">
        <is>
          <t>Miguel Ángel Ruiz - KIA Motors</t>
        </is>
      </c>
      <c r="C60" s="5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20/02/2026</t>
        </is>
      </c>
      <c r="B61" s="5" t="inlineStr">
        <is>
          <t>Carlos Ramírez - Volkswagen México</t>
        </is>
      </c>
      <c r="C61" s="5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</row>
    <row r="62">
      <c r="A62" s="26" t="n"/>
      <c r="B62" s="26" t="n"/>
      <c r="C62" s="26" t="n"/>
      <c r="D62" s="27" t="inlineStr">
        <is>
          <t>TOTAL SIN IVA</t>
        </is>
      </c>
      <c r="E62" s="28">
        <f>SUM(E58:E61)</f>
        <v/>
      </c>
      <c r="F62" s="26" t="n"/>
      <c r="G62" s="26" t="n"/>
      <c r="H62" s="26" t="n"/>
    </row>
    <row r="63" ht="15" customHeight="1">
      <c r="A63" t="inlineStr">
        <is>
          <t>23/02/2026</t>
        </is>
      </c>
      <c r="B63" s="5" t="inlineStr">
        <is>
          <t>Miguel Ángel Ruiz - KIA Motors</t>
        </is>
      </c>
      <c r="C63" s="5" t="inlineStr">
        <is>
          <t>RM-403-220 - 40 KVA - Trifásico - 220 V</t>
        </is>
      </c>
      <c r="D63" s="6" t="n">
        <v>71920</v>
      </c>
      <c r="E63" s="6">
        <f>D63/1.16</f>
        <v/>
      </c>
      <c r="F63" s="25">
        <f>SUM(E63:E77)</f>
        <v/>
      </c>
      <c r="G63" s="8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José García - BMW Group</t>
        </is>
      </c>
      <c r="C64" s="5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26/02/2026</t>
        </is>
      </c>
      <c r="B67" s="5" t="inlineStr">
        <is>
          <t>Elizabeth - ACURA</t>
        </is>
      </c>
      <c r="C67" s="5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Carlos Ramírez - Volkswagen México</t>
        </is>
      </c>
      <c r="C68" s="5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Miguel Ángel Ruiz - KIA Motors</t>
        </is>
      </c>
      <c r="C69" s="5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Cliente</t>
        </is>
      </c>
      <c r="C71" s="5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Hugo Hernandez - Nissan</t>
        </is>
      </c>
      <c r="C73" s="5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Elizabeth - ACURA</t>
        </is>
      </c>
      <c r="C74" s="5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</row>
    <row r="75" ht="15" customHeight="1">
      <c r="A75" t="inlineStr">
        <is>
          <t>27/02/2026</t>
        </is>
      </c>
      <c r="B75" s="5" t="inlineStr">
        <is>
          <t>Hugo Hernandez - Nissan</t>
        </is>
      </c>
      <c r="C75" s="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Elizabeth - ACURA</t>
        </is>
      </c>
      <c r="C76" s="5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</row>
    <row r="77" ht="15" customHeight="1">
      <c r="A77" t="inlineStr">
        <is>
          <t>27/02/2026</t>
        </is>
      </c>
      <c r="B77" s="5" t="inlineStr">
        <is>
          <t>Hugo Hernandez - Nissan</t>
        </is>
      </c>
      <c r="C77" s="5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</row>
    <row r="78">
      <c r="A78" s="26" t="n"/>
      <c r="B78" s="26" t="n"/>
      <c r="C78" s="26" t="n"/>
      <c r="D78" s="27" t="inlineStr">
        <is>
          <t>TOTAL SIN IVA</t>
        </is>
      </c>
      <c r="E78" s="28">
        <f>SUM(E63:E77)</f>
        <v/>
      </c>
      <c r="F78" s="26" t="n"/>
      <c r="G78" s="26" t="n"/>
      <c r="H78" s="26" t="n"/>
    </row>
    <row r="79">
      <c r="D79" s="29" t="inlineStr">
        <is>
          <t>VENTAS FEBRERO</t>
        </is>
      </c>
      <c r="E79" s="30">
        <f>E53+E57+E62+E78</f>
        <v/>
      </c>
    </row>
  </sheetData>
  <mergeCells count="30">
    <mergeCell ref="G28:G47"/>
    <mergeCell ref="G54:G56"/>
    <mergeCell ref="F9"/>
    <mergeCell ref="G17:G20"/>
    <mergeCell ref="A51:H51"/>
    <mergeCell ref="F52"/>
    <mergeCell ref="F63:F77"/>
    <mergeCell ref="F22:F26"/>
    <mergeCell ref="F5:F6"/>
    <mergeCell ref="G9"/>
    <mergeCell ref="F17:F20"/>
    <mergeCell ref="G52"/>
    <mergeCell ref="F28:F47"/>
    <mergeCell ref="G22:G26"/>
    <mergeCell ref="A5:A6"/>
    <mergeCell ref="G5:G6"/>
    <mergeCell ref="A2:H2"/>
    <mergeCell ref="F11:F15"/>
    <mergeCell ref="F54:F56"/>
    <mergeCell ref="J52:L52"/>
    <mergeCell ref="G11:G15"/>
    <mergeCell ref="G58:G61"/>
    <mergeCell ref="A8:H8"/>
    <mergeCell ref="B5:B6"/>
    <mergeCell ref="G63:G77"/>
    <mergeCell ref="F58:F61"/>
    <mergeCell ref="H5:H6"/>
    <mergeCell ref="D5:E5"/>
    <mergeCell ref="J9:L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31" t="inlineStr">
        <is>
          <t>Comisions Mensual Equipo de Comercializa 2026</t>
        </is>
      </c>
    </row>
    <row r="2">
      <c r="A2" s="32" t="inlineStr">
        <is>
          <t>Reguladores Electrónicos, Equipos de EC, UPS, etc</t>
        </is>
      </c>
    </row>
    <row r="5">
      <c r="A5" s="33" t="inlineStr">
        <is>
          <t>Comisiones Equipos de Comercializacion - Hugo</t>
        </is>
      </c>
    </row>
    <row r="6">
      <c r="A6" s="34" t="inlineStr">
        <is>
          <t>Fecha</t>
        </is>
      </c>
      <c r="B6" s="34" t="inlineStr">
        <is>
          <t>Cliente</t>
        </is>
      </c>
      <c r="C6" s="34" t="inlineStr">
        <is>
          <t>Concepto</t>
        </is>
      </c>
      <c r="D6" s="34" t="inlineStr">
        <is>
          <t>Deposito</t>
        </is>
      </c>
      <c r="E6" s="34" t="inlineStr"/>
      <c r="F6" s="34" t="inlineStr">
        <is>
          <t>Precio Proveedor</t>
        </is>
      </c>
      <c r="G6" s="34" t="inlineStr"/>
      <c r="H6" s="34" t="inlineStr">
        <is>
          <t>Comision</t>
        </is>
      </c>
      <c r="I6" s="34" t="inlineStr"/>
      <c r="J6" s="34" t="inlineStr"/>
    </row>
    <row r="7">
      <c r="A7" t="inlineStr">
        <is>
          <t>01/01/2026</t>
        </is>
      </c>
      <c r="B7" t="inlineStr">
        <is>
          <t>Sofía Morales</t>
        </is>
      </c>
      <c r="C7" t="inlineStr">
        <is>
          <t>RM-041-120 - 4 KVA - Monofásico - 120 V</t>
        </is>
      </c>
      <c r="D7" t="n">
        <v>29580</v>
      </c>
      <c r="E7" t="n">
        <v>24847.2</v>
      </c>
      <c r="F7" t="n">
        <v>0</v>
      </c>
      <c r="G7" t="n">
        <v>0</v>
      </c>
      <c r="H7" t="n">
        <v>24847.2</v>
      </c>
      <c r="I7" t="n">
        <v>0</v>
      </c>
      <c r="J7" t="inlineStr">
        <is>
          <t>Hugo</t>
        </is>
      </c>
    </row>
    <row r="8">
      <c r="A8" t="inlineStr">
        <is>
          <t>03/01/2026</t>
        </is>
      </c>
      <c r="B8" t="inlineStr">
        <is>
          <t>Miguel Ángel Ruiz</t>
        </is>
      </c>
      <c r="C8" t="inlineStr">
        <is>
          <t>RM-101-120 - 10 KVA - Monofásico - 120 V</t>
        </is>
      </c>
      <c r="D8" t="n">
        <v>52200</v>
      </c>
      <c r="E8" t="n">
        <v>43848</v>
      </c>
      <c r="F8" t="n">
        <v>0</v>
      </c>
      <c r="G8" t="n">
        <v>0</v>
      </c>
      <c r="H8" t="n">
        <v>43848</v>
      </c>
      <c r="I8" t="n">
        <v>0</v>
      </c>
      <c r="J8" t="inlineStr">
        <is>
          <t>Hugo</t>
        </is>
      </c>
    </row>
    <row r="9">
      <c r="A9" t="inlineStr">
        <is>
          <t>03/01/2026</t>
        </is>
      </c>
      <c r="B9" t="inlineStr">
        <is>
          <t>María López</t>
        </is>
      </c>
      <c r="C9" t="inlineStr">
        <is>
          <t>RM-153-220 - 15 KVA - Trifásico - 220 V</t>
        </is>
      </c>
      <c r="D9" t="n">
        <v>87696</v>
      </c>
      <c r="E9" t="n">
        <v>73664.64</v>
      </c>
      <c r="F9" t="n">
        <v>0</v>
      </c>
      <c r="G9" t="n">
        <v>0</v>
      </c>
      <c r="H9" t="n">
        <v>73664.64</v>
      </c>
      <c r="I9" t="n">
        <v>0</v>
      </c>
      <c r="J9" t="inlineStr">
        <is>
          <t>Hugo</t>
        </is>
      </c>
    </row>
    <row r="10">
      <c r="A10" t="inlineStr">
        <is>
          <t>03/01/2026</t>
        </is>
      </c>
      <c r="B10" t="inlineStr">
        <is>
          <t>Miguel Ángel Ruiz</t>
        </is>
      </c>
      <c r="C10" t="inlineStr">
        <is>
          <t>RM-403-220 - 40 KVA - Trifásico - 220 V</t>
        </is>
      </c>
      <c r="D10" t="n">
        <v>143840</v>
      </c>
      <c r="E10" t="n">
        <v>120825.6</v>
      </c>
      <c r="F10" t="n">
        <v>0</v>
      </c>
      <c r="G10" t="n">
        <v>0</v>
      </c>
      <c r="H10" t="n">
        <v>120825.6</v>
      </c>
      <c r="I10" t="n">
        <v>0</v>
      </c>
      <c r="J10" t="inlineStr">
        <is>
          <t>Hugo</t>
        </is>
      </c>
    </row>
    <row r="11">
      <c r="A11" t="inlineStr">
        <is>
          <t>03/01/2026</t>
        </is>
      </c>
      <c r="B11" t="inlineStr">
        <is>
          <t>Carlos Ramírez</t>
        </is>
      </c>
      <c r="C11" t="inlineStr">
        <is>
          <t>RM-101-120 - 10 KVA - Monofásico - 120 V</t>
        </is>
      </c>
      <c r="D11" t="n">
        <v>17400</v>
      </c>
      <c r="E11" t="n">
        <v>14616</v>
      </c>
      <c r="F11" t="n">
        <v>0</v>
      </c>
      <c r="G11" t="n">
        <v>0</v>
      </c>
      <c r="H11" t="n">
        <v>14616</v>
      </c>
      <c r="I11" t="n">
        <v>0</v>
      </c>
      <c r="J11" t="inlineStr">
        <is>
          <t>Hugo</t>
        </is>
      </c>
    </row>
    <row r="12">
      <c r="A12" t="inlineStr">
        <is>
          <t>07/01/2026</t>
        </is>
      </c>
      <c r="B12" t="inlineStr">
        <is>
          <t>María López</t>
        </is>
      </c>
      <c r="C12" t="inlineStr">
        <is>
          <t>RM-203-220 - 20 KVA - Trifásico - 220 V</t>
        </is>
      </c>
      <c r="D12" t="n">
        <v>73080</v>
      </c>
      <c r="E12" t="n">
        <v>61387.2</v>
      </c>
      <c r="F12" t="n">
        <v>0</v>
      </c>
      <c r="G12" t="n">
        <v>0</v>
      </c>
      <c r="H12" t="n">
        <v>61387.2</v>
      </c>
      <c r="I12" t="n">
        <v>0</v>
      </c>
      <c r="J12" t="inlineStr">
        <is>
          <t>Hugo</t>
        </is>
      </c>
    </row>
    <row r="13">
      <c r="A13" t="inlineStr">
        <is>
          <t>10/01/2026</t>
        </is>
      </c>
      <c r="B13" t="inlineStr">
        <is>
          <t>Miguel Ángel Ruiz</t>
        </is>
      </c>
      <c r="C13" t="inlineStr">
        <is>
          <t>RM-153-220 - 15 KVA - Trifásico - 220 V</t>
        </is>
      </c>
      <c r="D13" t="n">
        <v>32480</v>
      </c>
      <c r="E13" t="n">
        <v>27283.2</v>
      </c>
      <c r="F13" t="n">
        <v>0</v>
      </c>
      <c r="G13" t="n">
        <v>0</v>
      </c>
      <c r="H13" t="n">
        <v>27283.2</v>
      </c>
      <c r="I13" t="n">
        <v>0</v>
      </c>
      <c r="J13" t="inlineStr">
        <is>
          <t>Hugo</t>
        </is>
      </c>
    </row>
    <row r="14">
      <c r="A14" t="inlineStr">
        <is>
          <t>12/01/2026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t="n">
        <v>31320</v>
      </c>
      <c r="E14" t="n">
        <v>26308.8</v>
      </c>
      <c r="F14" t="n">
        <v>0</v>
      </c>
      <c r="G14" t="n">
        <v>0</v>
      </c>
      <c r="H14" t="n">
        <v>26308.8</v>
      </c>
      <c r="I14" t="n">
        <v>0</v>
      </c>
      <c r="J14" t="inlineStr">
        <is>
          <t>Hugo</t>
        </is>
      </c>
    </row>
    <row r="15">
      <c r="A15" t="inlineStr">
        <is>
          <t>13/01/2026</t>
        </is>
      </c>
      <c r="B15" t="inlineStr">
        <is>
          <t>María López</t>
        </is>
      </c>
      <c r="C15" t="inlineStr">
        <is>
          <t>RM-101-120 - 10 KVA - Monofásico - 120 V</t>
        </is>
      </c>
      <c r="D15" t="n">
        <v>52200</v>
      </c>
      <c r="E15" t="n">
        <v>43848</v>
      </c>
      <c r="F15" t="n">
        <v>0</v>
      </c>
      <c r="G15" t="n">
        <v>0</v>
      </c>
      <c r="H15" t="n">
        <v>43848</v>
      </c>
      <c r="I15" t="n">
        <v>0</v>
      </c>
      <c r="J15" t="inlineStr">
        <is>
          <t>Hugo</t>
        </is>
      </c>
    </row>
    <row r="16">
      <c r="A16" t="inlineStr">
        <is>
          <t>15/01/2026</t>
        </is>
      </c>
      <c r="B16" t="inlineStr">
        <is>
          <t>María López</t>
        </is>
      </c>
      <c r="C16" t="inlineStr">
        <is>
          <t>RM-203-220 - 20 KVA - Trifásico - 220 V</t>
        </is>
      </c>
      <c r="D16" t="n">
        <v>109620</v>
      </c>
      <c r="E16" t="n">
        <v>92080.8</v>
      </c>
      <c r="F16" t="n">
        <v>0</v>
      </c>
      <c r="G16" t="n">
        <v>0</v>
      </c>
      <c r="H16" t="n">
        <v>92080.8</v>
      </c>
      <c r="I16" t="n">
        <v>0</v>
      </c>
      <c r="J16" t="inlineStr">
        <is>
          <t>Hugo</t>
        </is>
      </c>
    </row>
    <row r="17">
      <c r="A17" t="inlineStr">
        <is>
          <t>18/01/2026</t>
        </is>
      </c>
      <c r="B17" t="inlineStr">
        <is>
          <t>Sofía Morales</t>
        </is>
      </c>
      <c r="C17" t="inlineStr">
        <is>
          <t>RM-101-120 - 10 KVA - Monofásico - 120 V</t>
        </is>
      </c>
      <c r="D17" t="n">
        <v>52200</v>
      </c>
      <c r="E17" t="n">
        <v>43848</v>
      </c>
      <c r="F17" t="n">
        <v>0</v>
      </c>
      <c r="G17" t="n">
        <v>0</v>
      </c>
      <c r="H17" t="n">
        <v>43848</v>
      </c>
      <c r="I17" t="n">
        <v>0</v>
      </c>
      <c r="J17" t="inlineStr">
        <is>
          <t>Hugo</t>
        </is>
      </c>
    </row>
    <row r="18">
      <c r="A18" t="inlineStr">
        <is>
          <t>18/01/2026</t>
        </is>
      </c>
      <c r="B18" t="inlineStr">
        <is>
          <t>Miguel Ángel Ruiz</t>
        </is>
      </c>
      <c r="C18" t="inlineStr">
        <is>
          <t>RM-153-220 - 15 KVA - Trifásico - 220 V</t>
        </is>
      </c>
      <c r="D18" t="n">
        <v>29232</v>
      </c>
      <c r="E18" t="n">
        <v>24554.88</v>
      </c>
      <c r="F18" t="n">
        <v>0</v>
      </c>
      <c r="G18" t="n">
        <v>0</v>
      </c>
      <c r="H18" t="n">
        <v>24554.88</v>
      </c>
      <c r="I18" t="n">
        <v>0</v>
      </c>
      <c r="J18" t="inlineStr">
        <is>
          <t>Hugo</t>
        </is>
      </c>
    </row>
    <row r="19">
      <c r="A19" t="inlineStr">
        <is>
          <t>18/01/2026</t>
        </is>
      </c>
      <c r="B19" t="inlineStr">
        <is>
          <t>Miguel Ángel Ruiz</t>
        </is>
      </c>
      <c r="C19" t="inlineStr">
        <is>
          <t>RM-041-120 - 4 KVA - Monofásico - 120 V</t>
        </is>
      </c>
      <c r="D19" t="n">
        <v>9860</v>
      </c>
      <c r="E19" t="n">
        <v>8282.4</v>
      </c>
      <c r="F19" t="n">
        <v>0</v>
      </c>
      <c r="G19" t="n">
        <v>0</v>
      </c>
      <c r="H19" t="n">
        <v>8282.4</v>
      </c>
      <c r="I19" t="n">
        <v>0</v>
      </c>
      <c r="J19" t="inlineStr">
        <is>
          <t>Hugo</t>
        </is>
      </c>
    </row>
    <row r="20">
      <c r="A20" t="inlineStr">
        <is>
          <t>19/01/2026</t>
        </is>
      </c>
      <c r="B20" t="inlineStr">
        <is>
          <t>Gabriela Fernández</t>
        </is>
      </c>
      <c r="C20" t="inlineStr">
        <is>
          <t>RM-403-220 - 40 KVA - Trifásico - 220 V</t>
        </is>
      </c>
      <c r="D20" t="n">
        <v>71920</v>
      </c>
      <c r="E20" t="n">
        <v>60412.8</v>
      </c>
      <c r="F20" t="n">
        <v>0</v>
      </c>
      <c r="G20" t="n">
        <v>0</v>
      </c>
      <c r="H20" t="n">
        <v>60412.8</v>
      </c>
      <c r="I20" t="n">
        <v>0</v>
      </c>
      <c r="J20" t="inlineStr">
        <is>
          <t>Hugo</t>
        </is>
      </c>
    </row>
    <row r="21">
      <c r="A21" t="inlineStr">
        <is>
          <t>20/01/2026</t>
        </is>
      </c>
      <c r="B21" t="inlineStr">
        <is>
          <t>Carlos Ramírez</t>
        </is>
      </c>
      <c r="C21" t="inlineStr">
        <is>
          <t>RM-101-120 - 10 KVA - Monofásico - 120 V</t>
        </is>
      </c>
      <c r="D21" t="n">
        <v>17400</v>
      </c>
      <c r="E21" t="n">
        <v>14616</v>
      </c>
      <c r="F21" t="n">
        <v>0</v>
      </c>
      <c r="G21" t="n">
        <v>0</v>
      </c>
      <c r="H21" t="n">
        <v>14616</v>
      </c>
      <c r="I21" t="n">
        <v>0</v>
      </c>
      <c r="J21" t="inlineStr">
        <is>
          <t>Hugo</t>
        </is>
      </c>
    </row>
    <row r="22">
      <c r="A22" t="inlineStr">
        <is>
          <t>28/01/2026</t>
        </is>
      </c>
      <c r="B22" t="inlineStr">
        <is>
          <t>Hugo Hernandez</t>
        </is>
      </c>
      <c r="C22" t="inlineStr">
        <is>
          <t>REGULADOR AUTOMÁTICO DE VOLTAJE INDUSTRIAL ELECTROMECÁNICO AVR - 4 KVA - Monofásico - 120 V</t>
        </is>
      </c>
      <c r="D22" t="n">
        <v>19572.12</v>
      </c>
      <c r="E22" t="n">
        <v>16440.5808</v>
      </c>
      <c r="F22" t="n">
        <v>0</v>
      </c>
      <c r="G22" t="n">
        <v>0</v>
      </c>
      <c r="H22" t="n">
        <v>16440.5808</v>
      </c>
      <c r="I22" t="n">
        <v>0</v>
      </c>
      <c r="J22" t="inlineStr">
        <is>
          <t>Hugo</t>
        </is>
      </c>
    </row>
    <row r="23">
      <c r="A23" t="inlineStr">
        <is>
          <t>28/01/2026</t>
        </is>
      </c>
      <c r="B23" t="inlineStr">
        <is>
          <t>Hugo Hernandez</t>
        </is>
      </c>
      <c r="C23" t="inlineStr">
        <is>
          <t>REGULADOR AUTOMÁTICO DE VOLTAJE INDUSTRIAL ELECTROMECÁNICO AVR - 4 KVA - Bifásico - 220 V</t>
        </is>
      </c>
      <c r="D23" t="n">
        <v>19572.12</v>
      </c>
      <c r="E23" t="n">
        <v>16440.5808</v>
      </c>
      <c r="F23" t="n">
        <v>0</v>
      </c>
      <c r="G23" t="n">
        <v>0</v>
      </c>
      <c r="H23" t="n">
        <v>16440.5808</v>
      </c>
      <c r="I23" t="n">
        <v>0</v>
      </c>
      <c r="J23" t="inlineStr">
        <is>
          <t>Hugo</t>
        </is>
      </c>
    </row>
    <row r="24">
      <c r="A24" t="inlineStr">
        <is>
          <t>28/01/2026</t>
        </is>
      </c>
      <c r="B24" t="inlineStr">
        <is>
          <t>Elizabeth</t>
        </is>
      </c>
      <c r="C24" t="inlineStr">
        <is>
          <t>REGULADOR AUTOMÁTICO DE
VOLTAJE INDUSTRIAL ELECTROMECÁNICO AVR - 1500 KVA - Trifásico - 480 V</t>
        </is>
      </c>
      <c r="D24" t="n">
        <v>1312024.86</v>
      </c>
      <c r="E24" t="n">
        <v>1102100.8824</v>
      </c>
      <c r="F24" t="n">
        <v>0</v>
      </c>
      <c r="G24" t="n">
        <v>0</v>
      </c>
      <c r="H24" t="n">
        <v>1102100.8824</v>
      </c>
      <c r="I24" t="n">
        <v>0</v>
      </c>
      <c r="J24" t="inlineStr">
        <is>
          <t>Hugo</t>
        </is>
      </c>
    </row>
    <row r="25">
      <c r="A25" t="inlineStr">
        <is>
          <t>28/01/2026</t>
        </is>
      </c>
      <c r="B25" t="inlineStr">
        <is>
          <t>Elizabeth</t>
        </is>
      </c>
      <c r="C25" t="inlineStr">
        <is>
          <t>REGULADOR AUTOMÁTICO DEVOLTAJE INDUSTRIAL ELECTROMECÁNICO AVR - 1500 KVA - Trifásico - 480 V</t>
        </is>
      </c>
      <c r="D25" t="n">
        <v>1206085.4</v>
      </c>
      <c r="E25" t="n">
        <v>1013111.736</v>
      </c>
      <c r="F25" t="n">
        <v>0</v>
      </c>
      <c r="G25" t="n">
        <v>0</v>
      </c>
      <c r="H25" t="n">
        <v>1013111.736</v>
      </c>
      <c r="I25" t="n">
        <v>0</v>
      </c>
      <c r="J25" t="inlineStr">
        <is>
          <t>Hugo</t>
        </is>
      </c>
    </row>
    <row r="26">
      <c r="A26" t="inlineStr">
        <is>
          <t>28/01/2026</t>
        </is>
      </c>
      <c r="B26" t="inlineStr">
        <is>
          <t>Elizabeth</t>
        </is>
      </c>
      <c r="C26" t="inlineStr">
        <is>
          <t>RM-053-220 - 5 KVA - Trifásico - 220 V</t>
        </is>
      </c>
      <c r="D26" t="n">
        <v>45660.42</v>
      </c>
      <c r="E26" t="n">
        <v>38354.7528</v>
      </c>
      <c r="F26" t="n">
        <v>0</v>
      </c>
      <c r="G26" t="n">
        <v>0</v>
      </c>
      <c r="H26" t="n">
        <v>38354.7528</v>
      </c>
      <c r="I26" t="n">
        <v>0</v>
      </c>
      <c r="J26" t="inlineStr">
        <is>
          <t>Hugo</t>
        </is>
      </c>
    </row>
    <row r="27">
      <c r="A27" t="inlineStr">
        <is>
          <t>28/01/2026</t>
        </is>
      </c>
      <c r="B27" t="inlineStr">
        <is>
          <t>Hugo Hernandez</t>
        </is>
      </c>
      <c r="C27" t="inlineStr">
        <is>
          <t>REGULADOR AUTOMÁTICO DE VOLTAJE INDUSTRIAL ELECTROMECÁNICO AVR - 4 KVA - Bifásico - 220 V</t>
        </is>
      </c>
      <c r="D27" t="n">
        <v>19572.12</v>
      </c>
      <c r="E27" t="n">
        <v>16440.5808</v>
      </c>
      <c r="F27" t="n">
        <v>0</v>
      </c>
      <c r="G27" t="n">
        <v>0</v>
      </c>
      <c r="H27" t="n">
        <v>16440.5808</v>
      </c>
      <c r="I27" t="n">
        <v>0</v>
      </c>
      <c r="J27" t="inlineStr">
        <is>
          <t>Hugo</t>
        </is>
      </c>
    </row>
    <row r="28">
      <c r="A28" t="inlineStr">
        <is>
          <t>28/01/2026</t>
        </is>
      </c>
      <c r="B28" t="inlineStr">
        <is>
          <t>Elizabeth</t>
        </is>
      </c>
      <c r="C28" t="inlineStr">
        <is>
          <t>REGULADOR AUTOMÁTICO DE VOLTAJE INDUSTRIAL ELECTROMECÁNICO AVR - 4 KVA - Bifásico - 220 V</t>
        </is>
      </c>
      <c r="D28" t="n">
        <v>19836.9</v>
      </c>
      <c r="E28" t="n">
        <v>16662.996</v>
      </c>
      <c r="F28" t="n">
        <v>0</v>
      </c>
      <c r="G28" t="n">
        <v>0</v>
      </c>
      <c r="H28" t="n">
        <v>16662.996</v>
      </c>
      <c r="I28" t="n">
        <v>0</v>
      </c>
      <c r="J28" t="inlineStr">
        <is>
          <t>Hugo</t>
        </is>
      </c>
    </row>
    <row r="29">
      <c r="A29" t="inlineStr">
        <is>
          <t>28/01/2026</t>
        </is>
      </c>
      <c r="B29" t="inlineStr">
        <is>
          <t>Elizabeth</t>
        </is>
      </c>
      <c r="C29" t="inlineStr">
        <is>
          <t>REGULADOR AUTOMÁTICO DE VOLTAJE INDUSTRIAL ELECTROMECÁNICO AVR - 4 KVA - Bifásico - 220 V</t>
        </is>
      </c>
      <c r="D29" t="n">
        <v>19572.12</v>
      </c>
      <c r="E29" t="n">
        <v>16440.5808</v>
      </c>
      <c r="F29" t="n">
        <v>0</v>
      </c>
      <c r="G29" t="n">
        <v>0</v>
      </c>
      <c r="H29" t="n">
        <v>16440.5808</v>
      </c>
      <c r="I29" t="n">
        <v>0</v>
      </c>
      <c r="J29" t="inlineStr">
        <is>
          <t>Hugo</t>
        </is>
      </c>
    </row>
    <row r="30">
      <c r="A30" t="inlineStr">
        <is>
          <t>28/01/2026</t>
        </is>
      </c>
      <c r="B30" t="inlineStr">
        <is>
          <t>Hugo Hernandez</t>
        </is>
      </c>
      <c r="C30" t="inlineStr">
        <is>
          <t>REGULADOR AUTOMÁTICO DE VOLTAJE INDUSTRIAL ELECTROMECÁNICO AVR - 4 KVA - Bifásico - 220 V</t>
        </is>
      </c>
      <c r="D30" t="n">
        <v>19572.12</v>
      </c>
      <c r="E30" t="n">
        <v>16440.5808</v>
      </c>
      <c r="F30" t="n">
        <v>0</v>
      </c>
      <c r="G30" t="n">
        <v>0</v>
      </c>
      <c r="H30" t="n">
        <v>16440.5808</v>
      </c>
      <c r="I30" t="n">
        <v>0</v>
      </c>
      <c r="J30" t="inlineStr">
        <is>
          <t>Hugo</t>
        </is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 VOLTAJE INDUSTRIAL ELECTROMECÁNICO AVR - 4 KVA - Bifásico - 220 V</t>
        </is>
      </c>
      <c r="D31" t="n">
        <v>19572.12</v>
      </c>
      <c r="E31" t="n">
        <v>16440.5808</v>
      </c>
      <c r="F31" t="n">
        <v>0</v>
      </c>
      <c r="G31" t="n">
        <v>0</v>
      </c>
      <c r="H31" t="n">
        <v>16440.5808</v>
      </c>
      <c r="I31" t="n">
        <v>0</v>
      </c>
      <c r="J31" t="inlineStr">
        <is>
          <t>Hugo</t>
        </is>
      </c>
    </row>
    <row r="32">
      <c r="A32" t="inlineStr">
        <is>
          <t>28/01/2026</t>
        </is>
      </c>
      <c r="B32" t="inlineStr">
        <is>
          <t>Cliente</t>
        </is>
      </c>
      <c r="C32" t="inlineStr">
        <is>
          <t>REGULADOR AUTOMÁTICO DE VOLTAJE INDUSTRIAL ELECTROMECÁNICO AVR - 4 KVA - Bifásico - 220 V</t>
        </is>
      </c>
      <c r="D32" t="n">
        <v>19572.12</v>
      </c>
      <c r="E32" t="n">
        <v>16440.5808</v>
      </c>
      <c r="F32" t="n">
        <v>0</v>
      </c>
      <c r="G32" t="n">
        <v>0</v>
      </c>
      <c r="H32" t="n">
        <v>16440.5808</v>
      </c>
      <c r="I32" t="n">
        <v>0</v>
      </c>
      <c r="J32" t="inlineStr">
        <is>
          <t>Hugo</t>
        </is>
      </c>
    </row>
    <row r="33">
      <c r="A33" t="inlineStr">
        <is>
          <t>28/01/2026</t>
        </is>
      </c>
      <c r="B33" t="inlineStr">
        <is>
          <t>Cliente</t>
        </is>
      </c>
      <c r="C33" t="inlineStr">
        <is>
          <t>REGULADOR AUTOMÁTICO DE VOLTAJE INDUSTRIAL ELECTROMECÁNICO AVR - 4 KVA - Bifásico - 220 V</t>
        </is>
      </c>
      <c r="D33" t="n">
        <v>19572.12</v>
      </c>
      <c r="E33" t="n">
        <v>16440.5808</v>
      </c>
      <c r="F33" t="n">
        <v>0</v>
      </c>
      <c r="G33" t="n">
        <v>0</v>
      </c>
      <c r="H33" t="n">
        <v>16440.5808</v>
      </c>
      <c r="I33" t="n">
        <v>0</v>
      </c>
      <c r="J33" t="inlineStr">
        <is>
          <t>Hugo</t>
        </is>
      </c>
    </row>
    <row r="34">
      <c r="A34" t="inlineStr">
        <is>
          <t>28/01/2026</t>
        </is>
      </c>
      <c r="B34" t="inlineStr">
        <is>
          <t>Cliente</t>
        </is>
      </c>
      <c r="C34" t="inlineStr">
        <is>
          <t>REGULADOR AUTOMÁTICO DE VOLTAJE INDUSTRIAL ELECTROMECÁNICO AVR - 4 KVA - Bifásico - 220 V</t>
        </is>
      </c>
      <c r="D34" t="n">
        <v>19572.12</v>
      </c>
      <c r="E34" t="n">
        <v>16440.5808</v>
      </c>
      <c r="F34" t="n">
        <v>0</v>
      </c>
      <c r="G34" t="n">
        <v>0</v>
      </c>
      <c r="H34" t="n">
        <v>16440.5808</v>
      </c>
      <c r="I34" t="n">
        <v>0</v>
      </c>
      <c r="J34" t="inlineStr">
        <is>
          <t>Hugo</t>
        </is>
      </c>
    </row>
    <row r="35">
      <c r="A35" t="inlineStr">
        <is>
          <t>28/01/2026</t>
        </is>
      </c>
      <c r="B35" t="inlineStr">
        <is>
          <t>Cliente</t>
        </is>
      </c>
      <c r="C35" t="inlineStr">
        <is>
          <t>REGULADOR AUTOMÁTICO DE VOLTAJE INDUSTRIAL ELECTROMECÁNICO AVR - 4 KVA - Bifásico - 220 V</t>
        </is>
      </c>
      <c r="D35" t="n">
        <v>19572.12</v>
      </c>
      <c r="E35" t="n">
        <v>16440.5808</v>
      </c>
      <c r="F35" t="n">
        <v>0</v>
      </c>
      <c r="G35" t="n">
        <v>0</v>
      </c>
      <c r="H35" t="n">
        <v>16440.5808</v>
      </c>
      <c r="I35" t="n">
        <v>0</v>
      </c>
      <c r="J35" t="inlineStr">
        <is>
          <t>Hugo</t>
        </is>
      </c>
    </row>
    <row r="36">
      <c r="A36" t="inlineStr">
        <is>
          <t>29/01/2026</t>
        </is>
      </c>
      <c r="B36" t="inlineStr">
        <is>
          <t>Cliente</t>
        </is>
      </c>
      <c r="C36" t="inlineStr">
        <is>
          <t>REGULADOR AUTOMÁTICO DE VOLTAJE INDUSTRIAL ELECTROMECÁNICO AVR - 4 KVA - Bifásico - 220 V</t>
        </is>
      </c>
      <c r="D36" t="n">
        <v>19572.12</v>
      </c>
      <c r="E36" t="n">
        <v>16440.5808</v>
      </c>
      <c r="F36" t="n">
        <v>0</v>
      </c>
      <c r="G36" t="n">
        <v>0</v>
      </c>
      <c r="H36" t="n">
        <v>16440.5808</v>
      </c>
      <c r="I36" t="n">
        <v>0</v>
      </c>
      <c r="J36" t="inlineStr">
        <is>
          <t>Hugo</t>
        </is>
      </c>
    </row>
    <row r="37">
      <c r="A37" t="inlineStr">
        <is>
          <t>29/01/2026</t>
        </is>
      </c>
      <c r="B37" t="inlineStr">
        <is>
          <t>Cliente</t>
        </is>
      </c>
      <c r="C37" t="inlineStr">
        <is>
          <t>REGULADOR AUTOMÁTICO DE VOLTAJE INDUSTRIAL ELECTROMECÁNICO AVR - 4 KVA - Bifásico - 220 V</t>
        </is>
      </c>
      <c r="D37" t="n">
        <v>18559.8</v>
      </c>
      <c r="E37" t="n">
        <v>15590.232</v>
      </c>
      <c r="F37" t="n">
        <v>0</v>
      </c>
      <c r="G37" t="n">
        <v>0</v>
      </c>
      <c r="H37" t="n">
        <v>15590.232</v>
      </c>
      <c r="I37" t="n">
        <v>0</v>
      </c>
      <c r="J37" t="inlineStr">
        <is>
          <t>Hugo</t>
        </is>
      </c>
    </row>
    <row r="38">
      <c r="A38" t="inlineStr">
        <is>
          <t>29/01/2026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t="n">
        <v>19572.12</v>
      </c>
      <c r="E38" t="n">
        <v>16440.5808</v>
      </c>
      <c r="F38" t="n">
        <v>0</v>
      </c>
      <c r="G38" t="n">
        <v>0</v>
      </c>
      <c r="H38" t="n">
        <v>16440.5808</v>
      </c>
      <c r="I38" t="n">
        <v>0</v>
      </c>
      <c r="J38" t="inlineStr">
        <is>
          <t>Hugo</t>
        </is>
      </c>
    </row>
    <row r="39">
      <c r="A39" t="inlineStr">
        <is>
          <t>29/01/2026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t="n">
        <v>18559.8</v>
      </c>
      <c r="E39" t="n">
        <v>15590.232</v>
      </c>
      <c r="F39" t="n">
        <v>0</v>
      </c>
      <c r="G39" t="n">
        <v>0</v>
      </c>
      <c r="H39" t="n">
        <v>15590.232</v>
      </c>
      <c r="I39" t="n">
        <v>0</v>
      </c>
      <c r="J39" t="inlineStr">
        <is>
          <t>Hugo</t>
        </is>
      </c>
    </row>
    <row r="40">
      <c r="A40" t="inlineStr">
        <is>
          <t>30/01/2026</t>
        </is>
      </c>
      <c r="B40" t="inlineStr">
        <is>
          <t>Hugo Hernandez</t>
        </is>
      </c>
      <c r="C40" t="inlineStr">
        <is>
          <t>REGULADOR AUTOMÁTICO DE VOLTAJE INDUSTRIAL ELECTROMECÁNICO AVR - 4 KVA - Bifásico - 220 V</t>
        </is>
      </c>
      <c r="D40" t="n">
        <v>19836</v>
      </c>
      <c r="E40" t="n">
        <v>16662.24</v>
      </c>
      <c r="F40" t="n">
        <v>0</v>
      </c>
      <c r="G40" t="n">
        <v>0</v>
      </c>
      <c r="H40" t="n">
        <v>16662.24</v>
      </c>
      <c r="I40" t="n">
        <v>0</v>
      </c>
      <c r="J40" t="inlineStr">
        <is>
          <t>Hugo</t>
        </is>
      </c>
    </row>
    <row r="41">
      <c r="A41" t="inlineStr">
        <is>
          <t>30/01/2026</t>
        </is>
      </c>
      <c r="B41" t="inlineStr">
        <is>
          <t>Elizabeth</t>
        </is>
      </c>
      <c r="C41" t="inlineStr">
        <is>
          <t>REGULADOR AUTOMÁTICO DE VOLTAJE INDUSTRIAL ELECTROMECÁNICO AVR - 4 KVA - Bifásico - 220 V</t>
        </is>
      </c>
      <c r="D41" t="n">
        <v>19152</v>
      </c>
      <c r="E41" t="n">
        <v>16087.68</v>
      </c>
      <c r="F41" t="n">
        <v>0</v>
      </c>
      <c r="G41" t="n">
        <v>0</v>
      </c>
      <c r="H41" t="n">
        <v>16087.68</v>
      </c>
      <c r="I41" t="n">
        <v>0</v>
      </c>
      <c r="J41" t="inlineStr">
        <is>
          <t>Hugo</t>
        </is>
      </c>
    </row>
    <row r="42">
      <c r="A42" t="inlineStr">
        <is>
          <t>01/02/2026</t>
        </is>
      </c>
      <c r="B42" t="inlineStr">
        <is>
          <t>Carlos Ramírez</t>
        </is>
      </c>
      <c r="C42" t="inlineStr">
        <is>
          <t>RM-041-120 - 4 KVA - Monofásico - 120 V</t>
        </is>
      </c>
      <c r="D42" t="n">
        <v>8874</v>
      </c>
      <c r="E42" t="n">
        <v>7454.16</v>
      </c>
      <c r="F42" t="n">
        <v>0</v>
      </c>
      <c r="G42" t="n">
        <v>0</v>
      </c>
      <c r="H42" t="n">
        <v>7454.16</v>
      </c>
      <c r="I42" t="n">
        <v>0</v>
      </c>
      <c r="J42" t="inlineStr">
        <is>
          <t>Hugo</t>
        </is>
      </c>
    </row>
    <row r="43">
      <c r="A43" t="inlineStr">
        <is>
          <t>11/02/2026</t>
        </is>
      </c>
      <c r="B43" t="inlineStr">
        <is>
          <t>José García</t>
        </is>
      </c>
      <c r="C43" t="inlineStr">
        <is>
          <t>RM-153-220 - 15 KVA - Trifásico - 220 V</t>
        </is>
      </c>
      <c r="D43" t="n">
        <v>64960</v>
      </c>
      <c r="E43" t="n">
        <v>54566.4</v>
      </c>
      <c r="F43" t="n">
        <v>0</v>
      </c>
      <c r="G43" t="n">
        <v>0</v>
      </c>
      <c r="H43" t="n">
        <v>54566.4</v>
      </c>
      <c r="I43" t="n">
        <v>0</v>
      </c>
      <c r="J43" t="inlineStr">
        <is>
          <t>Hugo</t>
        </is>
      </c>
    </row>
    <row r="44">
      <c r="A44" t="inlineStr">
        <is>
          <t>12/02/2026</t>
        </is>
      </c>
      <c r="B44" t="inlineStr">
        <is>
          <t>Hugo Hernández</t>
        </is>
      </c>
      <c r="C44" t="inlineStr">
        <is>
          <t>RM-041-120 - 4 KVA - Monofásico - 120 V</t>
        </is>
      </c>
      <c r="D44" t="n">
        <v>26622</v>
      </c>
      <c r="E44" t="n">
        <v>22362.48</v>
      </c>
      <c r="F44" t="n">
        <v>0</v>
      </c>
      <c r="G44" t="n">
        <v>0</v>
      </c>
      <c r="H44" t="n">
        <v>22362.48</v>
      </c>
      <c r="I44" t="n">
        <v>0</v>
      </c>
      <c r="J44" t="inlineStr">
        <is>
          <t>Hugo</t>
        </is>
      </c>
    </row>
    <row r="45">
      <c r="A45" t="inlineStr">
        <is>
          <t>13/02/2026</t>
        </is>
      </c>
      <c r="B45" t="inlineStr">
        <is>
          <t>Gabriela Fernández</t>
        </is>
      </c>
      <c r="C45" t="inlineStr">
        <is>
          <t>RM-101-120 - 10 KVA - Monofásico - 120 V</t>
        </is>
      </c>
      <c r="D45" t="n">
        <v>34800</v>
      </c>
      <c r="E45" t="n">
        <v>29232</v>
      </c>
      <c r="F45" t="n">
        <v>0</v>
      </c>
      <c r="G45" t="n">
        <v>0</v>
      </c>
      <c r="H45" t="n">
        <v>29232</v>
      </c>
      <c r="I45" t="n">
        <v>0</v>
      </c>
      <c r="J45" t="inlineStr">
        <is>
          <t>Hugo</t>
        </is>
      </c>
    </row>
    <row r="46">
      <c r="A46" t="inlineStr">
        <is>
          <t>14/02/2026</t>
        </is>
      </c>
      <c r="B46" t="inlineStr">
        <is>
          <t>José García</t>
        </is>
      </c>
      <c r="C46" t="inlineStr">
        <is>
          <t>RM-042-220 - 4 KVA - Bifásico - 220 V</t>
        </is>
      </c>
      <c r="D46" t="n">
        <v>19209.6</v>
      </c>
      <c r="E46" t="n">
        <v>16136.064</v>
      </c>
      <c r="F46" t="n">
        <v>0</v>
      </c>
      <c r="G46" t="n">
        <v>0</v>
      </c>
      <c r="H46" t="n">
        <v>16136.064</v>
      </c>
      <c r="I46" t="n">
        <v>0</v>
      </c>
      <c r="J46" t="inlineStr">
        <is>
          <t>Hugo</t>
        </is>
      </c>
    </row>
    <row r="47">
      <c r="A47" t="inlineStr">
        <is>
          <t>16/02/2026</t>
        </is>
      </c>
      <c r="B47" t="inlineStr">
        <is>
          <t>José García</t>
        </is>
      </c>
      <c r="C47" t="inlineStr">
        <is>
          <t>RM-042-220 - 4 KVA - Bifásico - 220 V</t>
        </is>
      </c>
      <c r="D47" t="n">
        <v>32016</v>
      </c>
      <c r="E47" t="n">
        <v>26893.44</v>
      </c>
      <c r="F47" t="n">
        <v>0</v>
      </c>
      <c r="G47" t="n">
        <v>0</v>
      </c>
      <c r="H47" t="n">
        <v>26893.44</v>
      </c>
      <c r="I47" t="n">
        <v>0</v>
      </c>
      <c r="J47" t="inlineStr">
        <is>
          <t>Hugo</t>
        </is>
      </c>
    </row>
    <row r="48">
      <c r="A48" t="inlineStr">
        <is>
          <t>18/02/2026</t>
        </is>
      </c>
      <c r="B48" t="inlineStr">
        <is>
          <t>Miguel Ángel Ruiz</t>
        </is>
      </c>
      <c r="C48" t="inlineStr">
        <is>
          <t>RM-041-120 - 4 KVA - Monofásico - 120 V</t>
        </is>
      </c>
      <c r="D48" t="n">
        <v>29580</v>
      </c>
      <c r="E48" t="n">
        <v>24847.2</v>
      </c>
      <c r="F48" t="n">
        <v>0</v>
      </c>
      <c r="G48" t="n">
        <v>0</v>
      </c>
      <c r="H48" t="n">
        <v>24847.2</v>
      </c>
      <c r="I48" t="n">
        <v>0</v>
      </c>
      <c r="J48" t="inlineStr">
        <is>
          <t>Hugo</t>
        </is>
      </c>
    </row>
    <row r="49">
      <c r="A49" t="inlineStr">
        <is>
          <t>20/02/2026</t>
        </is>
      </c>
      <c r="B49" t="inlineStr">
        <is>
          <t>Carlos Ramírez</t>
        </is>
      </c>
      <c r="C49" t="inlineStr">
        <is>
          <t>RM-153-220 - 15 KVA - Trifásico - 220 V</t>
        </is>
      </c>
      <c r="D49" t="n">
        <v>64960</v>
      </c>
      <c r="E49" t="n">
        <v>54566.4</v>
      </c>
      <c r="F49" t="n">
        <v>0</v>
      </c>
      <c r="G49" t="n">
        <v>0</v>
      </c>
      <c r="H49" t="n">
        <v>54566.4</v>
      </c>
      <c r="I49" t="n">
        <v>0</v>
      </c>
      <c r="J49" t="inlineStr">
        <is>
          <t>Hugo</t>
        </is>
      </c>
    </row>
    <row r="50">
      <c r="A50" t="inlineStr">
        <is>
          <t>23/02/2026</t>
        </is>
      </c>
      <c r="B50" t="inlineStr">
        <is>
          <t>Miguel Ángel Ruiz</t>
        </is>
      </c>
      <c r="C50" t="inlineStr">
        <is>
          <t>RM-403-220 - 40 KVA - Trifásico - 220 V</t>
        </is>
      </c>
      <c r="D50" t="n">
        <v>71920</v>
      </c>
      <c r="E50" t="n">
        <v>60412.8</v>
      </c>
      <c r="F50" t="n">
        <v>0</v>
      </c>
      <c r="G50" t="n">
        <v>0</v>
      </c>
      <c r="H50" t="n">
        <v>60412.8</v>
      </c>
      <c r="I50" t="n">
        <v>0</v>
      </c>
      <c r="J50" t="inlineStr">
        <is>
          <t>Hugo</t>
        </is>
      </c>
    </row>
    <row r="51">
      <c r="A51" t="inlineStr">
        <is>
          <t>26/02/2026</t>
        </is>
      </c>
      <c r="B51" t="inlineStr">
        <is>
          <t>José García</t>
        </is>
      </c>
      <c r="C51" t="inlineStr">
        <is>
          <t>RM-203-220 - 20 KVA - Trifásico - 220 V</t>
        </is>
      </c>
      <c r="D51" t="n">
        <v>40600</v>
      </c>
      <c r="E51" t="n">
        <v>34104</v>
      </c>
      <c r="F51" t="n">
        <v>0</v>
      </c>
      <c r="G51" t="n">
        <v>0</v>
      </c>
      <c r="H51" t="n">
        <v>34104</v>
      </c>
      <c r="I51" t="n">
        <v>0</v>
      </c>
      <c r="J51" t="inlineStr">
        <is>
          <t>Hugo</t>
        </is>
      </c>
    </row>
    <row r="52">
      <c r="A52" t="inlineStr">
        <is>
          <t>26/02/2026</t>
        </is>
      </c>
      <c r="B52" t="inlineStr">
        <is>
          <t>Elizabeth</t>
        </is>
      </c>
      <c r="C52" t="inlineStr">
        <is>
          <t>RM-042-220 - 4 KVA - Bifásico - 220 V</t>
        </is>
      </c>
      <c r="D52" t="n">
        <v>19403.28</v>
      </c>
      <c r="E52" t="n">
        <v>16298.7552</v>
      </c>
      <c r="F52" t="n">
        <v>0</v>
      </c>
      <c r="G52" t="n">
        <v>0</v>
      </c>
      <c r="H52" t="n">
        <v>16298.7552</v>
      </c>
      <c r="I52" t="n">
        <v>0</v>
      </c>
      <c r="J52" t="inlineStr">
        <is>
          <t>Hugo</t>
        </is>
      </c>
    </row>
    <row r="53">
      <c r="A53" t="inlineStr">
        <is>
          <t>26/02/2026</t>
        </is>
      </c>
      <c r="B53" t="inlineStr">
        <is>
          <t>Elizabeth</t>
        </is>
      </c>
      <c r="C53" t="inlineStr">
        <is>
          <t>RM-042-220 - 4 KVA - Bifásico - 220 V</t>
        </is>
      </c>
      <c r="D53" t="n">
        <v>18897.12</v>
      </c>
      <c r="E53" t="n">
        <v>15873.5808</v>
      </c>
      <c r="F53" t="n">
        <v>0</v>
      </c>
      <c r="G53" t="n">
        <v>0</v>
      </c>
      <c r="H53" t="n">
        <v>15873.5808</v>
      </c>
      <c r="I53" t="n">
        <v>0</v>
      </c>
      <c r="J53" t="inlineStr">
        <is>
          <t>Hugo</t>
        </is>
      </c>
    </row>
    <row r="54">
      <c r="A54" t="inlineStr">
        <is>
          <t>26/02/2026</t>
        </is>
      </c>
      <c r="B54" t="inlineStr">
        <is>
          <t>Elizabeth</t>
        </is>
      </c>
      <c r="C54" t="inlineStr">
        <is>
          <t>REGULADOR AUTOMÁTICO DE VOLTAJE INDUSTRIAL ELECTROMECÁNICO AVR - 4 KVA - Bifásico - 220 V</t>
        </is>
      </c>
      <c r="D54" t="n">
        <v>19572.12</v>
      </c>
      <c r="E54" t="n">
        <v>16440.5808</v>
      </c>
      <c r="F54" t="n">
        <v>0</v>
      </c>
      <c r="G54" t="n">
        <v>0</v>
      </c>
      <c r="H54" t="n">
        <v>16440.5808</v>
      </c>
      <c r="I54" t="n">
        <v>0</v>
      </c>
      <c r="J54" t="inlineStr">
        <is>
          <t>Hugo</t>
        </is>
      </c>
    </row>
    <row r="55">
      <c r="A55" t="inlineStr">
        <is>
          <t>27/02/2026</t>
        </is>
      </c>
      <c r="B55" t="inlineStr">
        <is>
          <t>Carlos Ramírez</t>
        </is>
      </c>
      <c r="C55" t="inlineStr">
        <is>
          <t>RM-203-220 - 20 KVA - Trifásico - 220 V</t>
        </is>
      </c>
      <c r="D55" t="n">
        <v>121800</v>
      </c>
      <c r="E55" t="n">
        <v>102312</v>
      </c>
      <c r="F55" t="n">
        <v>0</v>
      </c>
      <c r="G55" t="n">
        <v>0</v>
      </c>
      <c r="H55" t="n">
        <v>102312</v>
      </c>
      <c r="I55" t="n">
        <v>0</v>
      </c>
      <c r="J55" t="inlineStr">
        <is>
          <t>Hugo</t>
        </is>
      </c>
    </row>
    <row r="56">
      <c r="A56" t="inlineStr">
        <is>
          <t>27/02/2026</t>
        </is>
      </c>
      <c r="B56" t="inlineStr">
        <is>
          <t>Miguel Ángel Ruiz</t>
        </is>
      </c>
      <c r="C56" t="inlineStr">
        <is>
          <t>RM-042-220 - 4 KVA - Bifásico - 220 V</t>
        </is>
      </c>
      <c r="D56" t="n">
        <v>32016</v>
      </c>
      <c r="E56" t="n">
        <v>26893.44</v>
      </c>
      <c r="F56" t="n">
        <v>0</v>
      </c>
      <c r="G56" t="n">
        <v>0</v>
      </c>
      <c r="H56" t="n">
        <v>26893.44</v>
      </c>
      <c r="I56" t="n">
        <v>0</v>
      </c>
      <c r="J56" t="inlineStr">
        <is>
          <t>Hugo</t>
        </is>
      </c>
    </row>
    <row r="57">
      <c r="A57" t="inlineStr">
        <is>
          <t>27/02/2026</t>
        </is>
      </c>
      <c r="B57" t="inlineStr">
        <is>
          <t>Cliente</t>
        </is>
      </c>
      <c r="C57" t="inlineStr">
        <is>
          <t>REGULADOR AUTOMÁTICO DE VOLTAJE INDUSTRIAL ELECTROMECÁNICO AVR - 4 KVA - Bifásico - 220 V</t>
        </is>
      </c>
      <c r="D57" t="n">
        <v>19572.12</v>
      </c>
      <c r="E57" t="n">
        <v>16440.5808</v>
      </c>
      <c r="F57" t="n">
        <v>0</v>
      </c>
      <c r="G57" t="n">
        <v>0</v>
      </c>
      <c r="H57" t="n">
        <v>16440.5808</v>
      </c>
      <c r="I57" t="n">
        <v>0</v>
      </c>
      <c r="J57" t="inlineStr">
        <is>
          <t>Hugo</t>
        </is>
      </c>
    </row>
    <row r="58">
      <c r="A58" t="inlineStr">
        <is>
          <t>27/02/2026</t>
        </is>
      </c>
      <c r="B58" t="inlineStr">
        <is>
          <t>Cliente</t>
        </is>
      </c>
      <c r="C58" t="inlineStr">
        <is>
          <t>REGULADOR AUTOMÁTICO DE VOLTAJE INDUSTRIAL ELECTROMECÁNICO AVR - 4 KVA - Bifásico - 220 V</t>
        </is>
      </c>
      <c r="D58" t="n">
        <v>19572.12</v>
      </c>
      <c r="E58" t="n">
        <v>16440.5808</v>
      </c>
      <c r="F58" t="n">
        <v>0</v>
      </c>
      <c r="G58" t="n">
        <v>0</v>
      </c>
      <c r="H58" t="n">
        <v>16440.5808</v>
      </c>
      <c r="I58" t="n">
        <v>0</v>
      </c>
      <c r="J58" t="inlineStr">
        <is>
          <t>Hugo</t>
        </is>
      </c>
    </row>
    <row r="59">
      <c r="A59" t="inlineStr">
        <is>
          <t>27/02/2026</t>
        </is>
      </c>
      <c r="B59" t="inlineStr">
        <is>
          <t>Hugo Hernandez</t>
        </is>
      </c>
      <c r="C59" t="inlineStr">
        <is>
          <t>REGULADOR AUTOMÁTICO DE VOLTAJE INDUSTRIAL ELECTROMECÁNICO AVR - 4 KVA - Monofásico - 120 V</t>
        </is>
      </c>
      <c r="D59" t="n">
        <v>19572.12</v>
      </c>
      <c r="E59" t="n">
        <v>16440.5808</v>
      </c>
      <c r="F59" t="n">
        <v>0</v>
      </c>
      <c r="G59" t="n">
        <v>0</v>
      </c>
      <c r="H59" t="n">
        <v>16440.5808</v>
      </c>
      <c r="I59" t="n">
        <v>0</v>
      </c>
      <c r="J59" t="inlineStr">
        <is>
          <t>Hugo</t>
        </is>
      </c>
    </row>
    <row r="60">
      <c r="A60" t="inlineStr">
        <is>
          <t>27/02/2026</t>
        </is>
      </c>
      <c r="B60" t="inlineStr">
        <is>
          <t>Hugo Hernandez</t>
        </is>
      </c>
      <c r="C60" t="inlineStr">
        <is>
          <t>REGULADOR AUTOMÁTICO DE VOLTAJE INDUSTRIAL ELECTROMECÁNICO AVR - 4 KVA - Monofásico - 120 V</t>
        </is>
      </c>
      <c r="D60" t="n">
        <v>19572.12</v>
      </c>
      <c r="E60" t="n">
        <v>16440.5808</v>
      </c>
      <c r="F60" t="n">
        <v>0</v>
      </c>
      <c r="G60" t="n">
        <v>0</v>
      </c>
      <c r="H60" t="n">
        <v>16440.5808</v>
      </c>
      <c r="I60" t="n">
        <v>0</v>
      </c>
      <c r="J60" t="inlineStr">
        <is>
          <t>Hugo</t>
        </is>
      </c>
    </row>
    <row r="61">
      <c r="A61" t="inlineStr">
        <is>
          <t>27/02/2026</t>
        </is>
      </c>
      <c r="B61" t="inlineStr">
        <is>
          <t>Elizabeth</t>
        </is>
      </c>
      <c r="C61" t="inlineStr">
        <is>
          <t>RM-042-220 - 4 KVA - Bifásico - 220 V</t>
        </is>
      </c>
      <c r="D61" t="n">
        <v>19572.12</v>
      </c>
      <c r="E61" t="n">
        <v>16440.5808</v>
      </c>
      <c r="F61" t="n">
        <v>0</v>
      </c>
      <c r="G61" t="n">
        <v>0</v>
      </c>
      <c r="H61" t="n">
        <v>16440.5808</v>
      </c>
      <c r="I61" t="n">
        <v>0</v>
      </c>
      <c r="J61" t="inlineStr">
        <is>
          <t>Hugo</t>
        </is>
      </c>
    </row>
    <row r="62">
      <c r="H62" s="35" t="inlineStr">
        <is>
          <t>TOTAL</t>
        </is>
      </c>
      <c r="I62" s="36" t="n">
        <v>0</v>
      </c>
    </row>
    <row r="65">
      <c r="A65" s="33" t="inlineStr">
        <is>
          <t>Comisiones Equipos de Comercializacion - Marlen</t>
        </is>
      </c>
    </row>
    <row r="66">
      <c r="A66" s="34" t="inlineStr">
        <is>
          <t>Fecha</t>
        </is>
      </c>
      <c r="B66" s="34" t="inlineStr">
        <is>
          <t>Cliente</t>
        </is>
      </c>
      <c r="C66" s="34" t="inlineStr">
        <is>
          <t>Concepto</t>
        </is>
      </c>
      <c r="D66" s="34" t="inlineStr">
        <is>
          <t>Deposito</t>
        </is>
      </c>
      <c r="E66" s="34" t="inlineStr"/>
      <c r="F66" s="34" t="inlineStr">
        <is>
          <t>Precio Proveedor</t>
        </is>
      </c>
      <c r="G66" s="34" t="inlineStr"/>
      <c r="H66" s="34" t="inlineStr">
        <is>
          <t>Comision</t>
        </is>
      </c>
      <c r="I66" s="34" t="inlineStr"/>
      <c r="J66" s="34" t="inlineStr"/>
    </row>
    <row r="67">
      <c r="A67" t="inlineStr">
        <is>
          <t>27/02/2026</t>
        </is>
      </c>
      <c r="B67" t="inlineStr">
        <is>
          <t>Hugo Hernandez</t>
        </is>
      </c>
      <c r="C67" t="inlineStr">
        <is>
          <t>RM-042N-220 - 4 KVA - Bifásico - 220 V</t>
        </is>
      </c>
      <c r="D67" t="n">
        <v>47291.04</v>
      </c>
      <c r="E67" t="n">
        <v>39724.4736</v>
      </c>
      <c r="F67" t="n">
        <v>0</v>
      </c>
      <c r="G67" t="n">
        <v>0</v>
      </c>
      <c r="H67" t="n">
        <v>39724.4736</v>
      </c>
      <c r="I67" t="n">
        <v>0</v>
      </c>
      <c r="J67" t="inlineStr">
        <is>
          <t>Marlen</t>
        </is>
      </c>
    </row>
    <row r="68">
      <c r="A68" t="inlineStr">
        <is>
          <t>27/02/2026</t>
        </is>
      </c>
      <c r="B68" t="inlineStr">
        <is>
          <t>Elizabeth</t>
        </is>
      </c>
      <c r="C68" t="inlineStr">
        <is>
          <t>RM-052-220 - 5 KVA - Bifásico - 220 V</t>
        </is>
      </c>
      <c r="D68" t="n">
        <v>19572.12</v>
      </c>
      <c r="E68" t="n">
        <v>16440.5808</v>
      </c>
      <c r="F68" t="n">
        <v>0</v>
      </c>
      <c r="G68" t="n">
        <v>0</v>
      </c>
      <c r="H68" t="n">
        <v>16440.5808</v>
      </c>
      <c r="I68" t="n">
        <v>0</v>
      </c>
      <c r="J68" t="inlineStr">
        <is>
          <t>Marlen</t>
        </is>
      </c>
    </row>
    <row r="69">
      <c r="A69" t="inlineStr">
        <is>
          <t>27/02/2026</t>
        </is>
      </c>
      <c r="B69" t="inlineStr">
        <is>
          <t>Hugo Hernandez</t>
        </is>
      </c>
      <c r="C69" t="inlineStr">
        <is>
          <t>RM-053-480 - 5 KVA - Trifásico - 480 V</t>
        </is>
      </c>
      <c r="D69" t="n">
        <v>47291.04</v>
      </c>
      <c r="E69" t="n">
        <v>39724.4736</v>
      </c>
      <c r="F69" t="n">
        <v>0</v>
      </c>
      <c r="G69" t="n">
        <v>0</v>
      </c>
      <c r="H69" t="n">
        <v>39724.4736</v>
      </c>
      <c r="I69" t="n">
        <v>0</v>
      </c>
      <c r="J69" t="inlineStr">
        <is>
          <t>Marlen</t>
        </is>
      </c>
    </row>
    <row r="70">
      <c r="H70" s="35" t="inlineStr">
        <is>
          <t>TOTAL</t>
        </is>
      </c>
      <c r="I70" s="36" t="n">
        <v>0</v>
      </c>
    </row>
  </sheetData>
  <mergeCells count="2">
    <mergeCell ref="A5:J5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2026-03-01T05:37:18Z</dcterms:created>
  <dcterms:modified xsi:type="dcterms:W3CDTF">2026-03-01T05:37:18Z</dcterms:modified>
</cp:coreProperties>
</file>