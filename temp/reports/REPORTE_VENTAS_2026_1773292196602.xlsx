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</t>
        </is>
      </c>
      <c r="D8" s="6" t="n">
        <v>47291.04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SUMIF(H8:H36,J10,E8:E36)</f>
        <v/>
      </c>
      <c r="L10" s="14">
        <f>K10/E$37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SUMIF(H8:H36,J11,E8:E36)</f>
        <v/>
      </c>
      <c r="L11" s="14">
        <f>K11/E$37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E37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Elizabeth - ACURA</t>
        </is>
      </c>
      <c r="C13" s="5" t="inlineStr">
        <is>
          <t>Regulador - RM-053-220 - 5 KVA - Trifásico</t>
        </is>
      </c>
      <c r="D13" s="6" t="n">
        <v>95626.25999999999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UPS-1000VA - 1000VA</t>
        </is>
      </c>
      <c r="D14" s="6" t="n">
        <v>8352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Roman - OFFICE DEPOT</t>
        </is>
      </c>
      <c r="C15" s="5" t="inlineStr">
        <is>
          <t>UPS-1000VA - 1000VA</t>
        </is>
      </c>
      <c r="D15" s="6" t="n">
        <v>8352</v>
      </c>
      <c r="E15" s="6">
        <f>D15/1.16</f>
        <v/>
      </c>
      <c r="F15" s="10" t="n"/>
      <c r="G15" s="10" t="n"/>
      <c r="H15" t="inlineStr">
        <is>
          <t>Marlen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TM-040-520 - 500 VA - Monofásico</t>
        </is>
      </c>
      <c r="D16" s="6" t="n">
        <v>11066.4</v>
      </c>
      <c r="E16" s="6">
        <f>D16/1.16</f>
        <v/>
      </c>
      <c r="F16" s="10" t="n"/>
      <c r="G16" s="10" t="n"/>
      <c r="H16" t="inlineStr">
        <is>
          <t>Marlen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22" t="n"/>
      <c r="B18" s="22" t="n"/>
      <c r="C18" s="22" t="n"/>
      <c r="D18" s="23" t="inlineStr">
        <is>
          <t>TOTAL SIN IVA</t>
        </is>
      </c>
      <c r="E18" s="24">
        <f>SUM(E8:E17)</f>
        <v/>
      </c>
      <c r="F18" s="22" t="n"/>
      <c r="G18" s="22" t="n"/>
      <c r="H18" s="22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</t>
        </is>
      </c>
      <c r="D19" s="6" t="n">
        <v>9786.059999999999</v>
      </c>
      <c r="E19" s="6">
        <f>D19/1.16</f>
        <v/>
      </c>
      <c r="F19" s="25">
        <f>SUM(E19:E35)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Elizabeth - ACURA</t>
        </is>
      </c>
      <c r="C21" s="5" t="inlineStr">
        <is>
          <t>Regulador - RM-041-120 - 4 KVA - Monofásico + Regulador - RM-051-120 - 5 KVA - Monofásico</t>
        </is>
      </c>
      <c r="D21" s="6" t="n">
        <v>40188.24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10/03/2026</t>
        </is>
      </c>
      <c r="B22" s="5" t="inlineStr">
        <is>
          <t>Elizabeth - ACURA</t>
        </is>
      </c>
      <c r="C22" s="5" t="inlineStr">
        <is>
          <t>Regulador - RM-042N-220 - 4 KVA - Bifásico + UPS - UPS-1000VA - 1000VA</t>
        </is>
      </c>
      <c r="D22" s="6" t="n">
        <v>56687.04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10/03/2026</t>
        </is>
      </c>
      <c r="B23" s="5" t="inlineStr">
        <is>
          <t>Roman - OFFICE DEPOT</t>
        </is>
      </c>
      <c r="C23" s="5" t="inlineStr">
        <is>
          <t>Regulador - RM-042N-220 - 4 KVA - Bifásico + UPS - UPS-1000VA - 1000VA</t>
        </is>
      </c>
      <c r="D23" s="6" t="n">
        <v>56687.04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10/03/2026</t>
        </is>
      </c>
      <c r="B24" s="5" t="inlineStr">
        <is>
          <t>Emiliano Castro - ACME</t>
        </is>
      </c>
      <c r="C24" s="5" t="inlineStr">
        <is>
          <t>UPS - UPS-1000VA - 1000VA</t>
        </is>
      </c>
      <c r="D24" s="6" t="n">
        <v>8352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Regulador - RM-042-220 - 4 KVA - Bifásico + UPS - UPS-1000VA - 1000VA</t>
        </is>
      </c>
      <c r="D25" s="6" t="n">
        <v>28968.12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11/03/2026</t>
        </is>
      </c>
      <c r="B26" s="5" t="inlineStr">
        <is>
          <t>Roman - OFFICE DEPOT</t>
        </is>
      </c>
      <c r="C26" s="5" t="inlineStr">
        <is>
          <t>Anticipo - Regulador - RM-042-220 - 4 KVA - Bifásico + UPS - UPS-1000VA - 1000VA</t>
        </is>
      </c>
      <c r="D26" s="6" t="n">
        <v>14484.06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11/03/2026</t>
        </is>
      </c>
      <c r="B27" s="5" t="inlineStr">
        <is>
          <t>Roman - OFFICE DEPOT</t>
        </is>
      </c>
      <c r="C27" s="5" t="inlineStr">
        <is>
          <t>Saldo - Regulador - RM-042-220 - 4 KVA - Bifásico + UPS - UPS-1000VA - 1000VA</t>
        </is>
      </c>
      <c r="D27" s="6" t="n">
        <v>14484.06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11/03/2026</t>
        </is>
      </c>
      <c r="B28" s="5" t="inlineStr">
        <is>
          <t>Emiliano Castro - ACME</t>
        </is>
      </c>
      <c r="C28" s="5" t="inlineStr">
        <is>
          <t>Anticipo - Regulador - RM-042N-220 - 4 KVA - Bifásico + UPS - UPS-1000VA - 1000VA</t>
        </is>
      </c>
      <c r="D28" s="6" t="n">
        <v>28343.52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11/03/2026</t>
        </is>
      </c>
      <c r="B29" s="5" t="inlineStr">
        <is>
          <t>Emiliano Castro - ACME</t>
        </is>
      </c>
      <c r="C29" s="5" t="inlineStr">
        <is>
          <t>Saldo - Regulador - RM-042N-220 - 4 KVA - Bifásico + UPS - UPS-1000VA - 1000VA</t>
        </is>
      </c>
      <c r="D29" s="6" t="n">
        <v>28343.52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11/03/2026</t>
        </is>
      </c>
      <c r="B30" s="5" t="inlineStr">
        <is>
          <t>Emiliano Castro - ACME</t>
        </is>
      </c>
      <c r="C30" s="5" t="inlineStr">
        <is>
          <t>Anticipo - Regulador - RM-042N-220 - 4 KVA - Bifásico + UPS - UPS-1000VA - 1000VA</t>
        </is>
      </c>
      <c r="D30" s="6" t="n">
        <v>28343.52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11/03/2026</t>
        </is>
      </c>
      <c r="B31" s="5" t="inlineStr">
        <is>
          <t>Emiliano Castro - ACME</t>
        </is>
      </c>
      <c r="C31" s="5" t="inlineStr">
        <is>
          <t>Saldo - Regulador - RM-042N-220 - 4 KVA - Bifásico + UPS - UPS-1000VA - 1000VA</t>
        </is>
      </c>
      <c r="D31" s="6" t="n">
        <v>28343.52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11/03/2026</t>
        </is>
      </c>
      <c r="B32" s="5" t="inlineStr">
        <is>
          <t>Elizabeth - ACURA</t>
        </is>
      </c>
      <c r="C32" s="5" t="inlineStr">
        <is>
          <t>Anticipo - Regulador - RM-042N-220 - 4 KVA - Bifásico + UPS - UPS-1000VA - 1000VA</t>
        </is>
      </c>
      <c r="D32" s="6" t="n">
        <v>28343.52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11/03/2026</t>
        </is>
      </c>
      <c r="B33" s="5" t="inlineStr">
        <is>
          <t>Elizabeth - ACURA</t>
        </is>
      </c>
      <c r="C33" s="5" t="inlineStr">
        <is>
          <t>Saldo - Regulador - RM-042N-220 - 4 KVA - Bifásico + UPS - UPS-1000VA - 1000VA</t>
        </is>
      </c>
      <c r="D33" s="6" t="n">
        <v>28343.52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11/03/2026</t>
        </is>
      </c>
      <c r="B34" s="5" t="inlineStr">
        <is>
          <t>Elizabeth - ACURA</t>
        </is>
      </c>
      <c r="C34" s="5" t="inlineStr">
        <is>
          <t>Anticipo - Regulador - RM-042N-220 - 4 KVA - Bifásico + UPS - UPS-1000VA - 1000VA</t>
        </is>
      </c>
      <c r="D34" s="6" t="n">
        <v>28343.52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11/03/2026</t>
        </is>
      </c>
      <c r="B35" s="5" t="inlineStr">
        <is>
          <t>Elizabeth - ACURA</t>
        </is>
      </c>
      <c r="C35" s="5" t="inlineStr">
        <is>
          <t>Saldo - Regulador - RM-042N-220 - 4 KVA - Bifásico + UPS - UPS-1000VA - 1000VA</t>
        </is>
      </c>
      <c r="D35" s="6" t="n">
        <v>28343.52</v>
      </c>
      <c r="E35" s="6">
        <f>D35/1.16</f>
        <v/>
      </c>
      <c r="H35" t="inlineStr">
        <is>
          <t>Hugo</t>
        </is>
      </c>
    </row>
    <row r="36">
      <c r="A36" s="22" t="n"/>
      <c r="B36" s="22" t="n"/>
      <c r="C36" s="22" t="n"/>
      <c r="D36" s="23" t="inlineStr">
        <is>
          <t>TOTAL SIN IVA</t>
        </is>
      </c>
      <c r="E36" s="24">
        <f>SUM(E19:E35)</f>
        <v/>
      </c>
      <c r="F36" s="22" t="n"/>
      <c r="G36" s="22" t="n"/>
      <c r="H36" s="22" t="n"/>
    </row>
    <row r="37">
      <c r="D37" s="27" t="inlineStr">
        <is>
          <t>VENTAS MARZO</t>
        </is>
      </c>
      <c r="E37" s="28">
        <f>E18+E36</f>
        <v/>
      </c>
    </row>
  </sheetData>
  <mergeCells count="14">
    <mergeCell ref="A5:A6"/>
    <mergeCell ref="G5:G6"/>
    <mergeCell ref="F8:F17"/>
    <mergeCell ref="H5:H6"/>
    <mergeCell ref="A7:H7"/>
    <mergeCell ref="A2:H2"/>
    <mergeCell ref="D5:E5"/>
    <mergeCell ref="G8:G17"/>
    <mergeCell ref="F19:F35"/>
    <mergeCell ref="J8:L8"/>
    <mergeCell ref="G19:G35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20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</t>
        </is>
      </c>
      <c r="D9" s="6" t="n">
        <v>47291.04</v>
      </c>
      <c r="E9" s="6">
        <f>D9/1.16</f>
        <v/>
      </c>
      <c r="F9" s="33">
        <f>SUM(E9:E15)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E34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</t>
        </is>
      </c>
      <c r="D11" s="6" t="n">
        <v>50000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</t>
        </is>
      </c>
      <c r="D12" s="6" t="n">
        <v>150000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</t>
        </is>
      </c>
      <c r="D13" s="6" t="n">
        <v>19403.28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Regulador - RM-053-220 - 5 KVA - Trifásico</t>
        </is>
      </c>
      <c r="D14" s="6" t="n">
        <v>95626.25999999999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s="18" t="inlineStr">
        <is>
          <t>04/03/2026</t>
        </is>
      </c>
      <c r="B15" s="19" t="inlineStr">
        <is>
          <t>Brandon Castro - REDTEAM</t>
        </is>
      </c>
      <c r="C15" s="19" t="inlineStr">
        <is>
          <t>Regulador - RM-042N-220 - 4 KVA - Bifásico</t>
        </is>
      </c>
      <c r="D15" s="20" t="n">
        <v>47291.04</v>
      </c>
      <c r="E15" s="20">
        <f>D15/1.16</f>
        <v/>
      </c>
      <c r="F15" s="21" t="n"/>
      <c r="G15" s="21" t="n"/>
      <c r="H15" s="18" t="inlineStr">
        <is>
          <t>Marlen</t>
        </is>
      </c>
    </row>
    <row r="16">
      <c r="A16" s="39" t="n"/>
      <c r="B16" s="39" t="n"/>
      <c r="C16" s="39" t="n"/>
      <c r="D16" s="40" t="inlineStr">
        <is>
          <t>TOTAL SIN IVA</t>
        </is>
      </c>
      <c r="E16" s="41">
        <f>SUM(E9:E15)</f>
        <v/>
      </c>
      <c r="F16" s="39" t="n"/>
      <c r="G16" s="39" t="n"/>
      <c r="H16" s="39" t="n"/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Anticipo - Regulador - RM-042-220 - 4 KVA - Bifásico</t>
        </is>
      </c>
      <c r="D17" s="6" t="n">
        <v>9786.059999999999</v>
      </c>
      <c r="E17" s="6">
        <f>D17/1.16</f>
        <v/>
      </c>
      <c r="F17" s="42">
        <f>SUM(E17:E32)</f>
        <v/>
      </c>
      <c r="G17" s="26" t="inlineStr">
        <is>
          <t>Semana 2 (13-mar)</t>
        </is>
      </c>
      <c r="H17" t="inlineStr">
        <is>
          <t>Hugo</t>
        </is>
      </c>
    </row>
    <row r="18" ht="15" customHeight="1">
      <c r="A18" t="inlineStr">
        <is>
          <t>09/03/2026</t>
        </is>
      </c>
      <c r="B18" s="5" t="inlineStr">
        <is>
          <t>Emiliano Castro - ACME</t>
        </is>
      </c>
      <c r="C18" s="5" t="inlineStr">
        <is>
          <t>Saldo - Regulador - RM-042-220 - 4 KVA - Bifásico</t>
        </is>
      </c>
      <c r="D18" s="6" t="n">
        <v>9786.059999999999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RM-041-120 - 4 KVA - Monofásico + Regulador - RM-051-120 - 5 KVA - Monofásico</t>
        </is>
      </c>
      <c r="D19" s="6" t="n">
        <v>40188.24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Elizabeth - ACURA</t>
        </is>
      </c>
      <c r="C20" s="5" t="inlineStr">
        <is>
          <t>Regulador - RM-042N-220 - 4 KVA - Bifásico</t>
        </is>
      </c>
      <c r="D20" s="6" t="n">
        <v>47460.96744764729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Roman - OFFICE DEPOT</t>
        </is>
      </c>
      <c r="C21" s="5" t="inlineStr">
        <is>
          <t>Regulador - RM-042N-220 - 4 KVA - Bifásico</t>
        </is>
      </c>
      <c r="D21" s="6" t="n">
        <v>47460.96744764729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11/03/2026</t>
        </is>
      </c>
      <c r="B22" s="5" t="inlineStr">
        <is>
          <t>Emiliano Castro - ACME</t>
        </is>
      </c>
      <c r="C22" s="5" t="inlineStr">
        <is>
          <t>Regulador - RM-042-220 - 4 KVA - Bifásico</t>
        </is>
      </c>
      <c r="D22" s="6" t="n">
        <v>19898.9556987811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11/03/2026</t>
        </is>
      </c>
      <c r="B23" s="5" t="inlineStr">
        <is>
          <t>Roman - OFFICE DEPOT</t>
        </is>
      </c>
      <c r="C23" s="5" t="inlineStr">
        <is>
          <t>Anticipo - Regulador - RM-042-220 - 4 KVA - Bifásico</t>
        </is>
      </c>
      <c r="D23" s="6" t="n">
        <v>9949.477849390549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11/03/2026</t>
        </is>
      </c>
      <c r="B24" s="5" t="inlineStr">
        <is>
          <t>Roman - OFFICE DEPOT</t>
        </is>
      </c>
      <c r="C24" s="5" t="inlineStr">
        <is>
          <t>Saldo - Regulador - RM-042-220 - 4 KVA - Bifásico</t>
        </is>
      </c>
      <c r="D24" s="6" t="n">
        <v>14484.06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Anticipo - Regulador - RM-042N-220 - 4 KVA - Bifásico</t>
        </is>
      </c>
      <c r="D25" s="6" t="n">
        <v>23730.48372382365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11/03/2026</t>
        </is>
      </c>
      <c r="B26" s="5" t="inlineStr">
        <is>
          <t>Emiliano Castro - ACME</t>
        </is>
      </c>
      <c r="C26" s="5" t="inlineStr">
        <is>
          <t>Saldo - Regulador - RM-042N-220 - 4 KVA - Bifásico</t>
        </is>
      </c>
      <c r="D26" s="6" t="n">
        <v>23730.48372382365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11/03/2026</t>
        </is>
      </c>
      <c r="B27" s="5" t="inlineStr">
        <is>
          <t>Emiliano Castro - ACME</t>
        </is>
      </c>
      <c r="C27" s="5" t="inlineStr">
        <is>
          <t>Anticipo - Regulador - RM-042N-220 - 4 KVA - Bifásico</t>
        </is>
      </c>
      <c r="D27" s="6" t="n">
        <v>23730.48372382365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11/03/2026</t>
        </is>
      </c>
      <c r="B28" s="5" t="inlineStr">
        <is>
          <t>Emiliano Castro - ACME</t>
        </is>
      </c>
      <c r="C28" s="5" t="inlineStr">
        <is>
          <t>Saldo - Regulador - RM-042N-220 - 4 KVA - Bifásico</t>
        </is>
      </c>
      <c r="D28" s="6" t="n">
        <v>23730.48372382365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11/03/2026</t>
        </is>
      </c>
      <c r="B29" s="5" t="inlineStr">
        <is>
          <t>Elizabeth - ACURA</t>
        </is>
      </c>
      <c r="C29" s="5" t="inlineStr">
        <is>
          <t>Anticipo - Regulador - RM-042N-220 - 4 KVA - Bifásico</t>
        </is>
      </c>
      <c r="D29" s="6" t="n">
        <v>23730.48372382365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11/03/2026</t>
        </is>
      </c>
      <c r="B30" s="5" t="inlineStr">
        <is>
          <t>Elizabeth - ACURA</t>
        </is>
      </c>
      <c r="C30" s="5" t="inlineStr">
        <is>
          <t>Saldo - Regulador - RM-042N-220 - 4 KVA - Bifásico</t>
        </is>
      </c>
      <c r="D30" s="6" t="n">
        <v>23730.48372382365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11/03/2026</t>
        </is>
      </c>
      <c r="B31" s="5" t="inlineStr">
        <is>
          <t>Elizabeth - ACURA</t>
        </is>
      </c>
      <c r="C31" s="5" t="inlineStr">
        <is>
          <t>Anticipo - Regulador - RM-042N-220 - 4 KVA - Bifásico</t>
        </is>
      </c>
      <c r="D31" s="6" t="n">
        <v>23730.48372382365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11/03/2026</t>
        </is>
      </c>
      <c r="B32" s="5" t="inlineStr">
        <is>
          <t>Elizabeth - ACURA</t>
        </is>
      </c>
      <c r="C32" s="5" t="inlineStr">
        <is>
          <t>Saldo - Regulador - RM-042N-220 - 4 KVA - Bifásico</t>
        </is>
      </c>
      <c r="D32" s="6" t="n">
        <v>23730.48372382365</v>
      </c>
      <c r="E32" s="6">
        <f>D32/1.16</f>
        <v/>
      </c>
      <c r="H32" t="inlineStr">
        <is>
          <t>Hugo</t>
        </is>
      </c>
    </row>
    <row r="33">
      <c r="A33" s="39" t="n"/>
      <c r="B33" s="39" t="n"/>
      <c r="C33" s="39" t="n"/>
      <c r="D33" s="40" t="inlineStr">
        <is>
          <t>TOTAL SIN IVA</t>
        </is>
      </c>
      <c r="E33" s="41">
        <f>SUM(E17:E32)</f>
        <v/>
      </c>
      <c r="F33" s="39" t="n"/>
      <c r="G33" s="39" t="n"/>
      <c r="H33" s="39" t="n"/>
    </row>
    <row r="34">
      <c r="D34" s="27" t="inlineStr">
        <is>
          <t>VENTAS MARZO</t>
        </is>
      </c>
      <c r="E34" s="28">
        <f>E16+E33</f>
        <v/>
      </c>
    </row>
  </sheetData>
  <mergeCells count="16">
    <mergeCell ref="A5:A6"/>
    <mergeCell ref="G5:G6"/>
    <mergeCell ref="G9:G15"/>
    <mergeCell ref="A3:H3"/>
    <mergeCell ref="H5:H6"/>
    <mergeCell ref="F9:F15"/>
    <mergeCell ref="F17:F32"/>
    <mergeCell ref="A2:H2"/>
    <mergeCell ref="D5:E5"/>
    <mergeCell ref="G17:G32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UPS-1000VA - 1000VA</t>
        </is>
      </c>
      <c r="D7" s="50" t="n">
        <v>8352</v>
      </c>
      <c r="E7" s="50">
        <f>D7/1.16</f>
        <v/>
      </c>
      <c r="F7" s="50" t="n">
        <v>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10/03/2026</t>
        </is>
      </c>
      <c r="B8" s="49" t="inlineStr">
        <is>
          <t>Elizabeth - ACURA</t>
        </is>
      </c>
      <c r="C8" s="49" t="inlineStr">
        <is>
          <t>UPS - UPS-1000VA - 1000VA</t>
        </is>
      </c>
      <c r="D8" s="50" t="n">
        <v>56687.04</v>
      </c>
      <c r="E8" s="50">
        <f>D8/1.16</f>
        <v/>
      </c>
      <c r="F8" s="50" t="n">
        <v>5000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10/03/2026</t>
        </is>
      </c>
      <c r="B9" s="49" t="inlineStr">
        <is>
          <t>Roman - OFFICE DEPOT</t>
        </is>
      </c>
      <c r="C9" s="49" t="inlineStr">
        <is>
          <t>UPS - UPS-1000VA - 1000VA</t>
        </is>
      </c>
      <c r="D9" s="50" t="n">
        <v>56687.04</v>
      </c>
      <c r="E9" s="50">
        <f>D9/1.16</f>
        <v/>
      </c>
      <c r="F9" s="50" t="n">
        <v>5000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48" t="inlineStr">
        <is>
          <t>10/03/2026</t>
        </is>
      </c>
      <c r="B10" s="49" t="inlineStr">
        <is>
          <t>Emiliano Castro - ACME</t>
        </is>
      </c>
      <c r="C10" s="49" t="inlineStr">
        <is>
          <t>UPS - UPS-1000VA - 1000VA</t>
        </is>
      </c>
      <c r="D10" s="50" t="n">
        <v>8352</v>
      </c>
      <c r="E10" s="50">
        <f>D10/1.16</f>
        <v/>
      </c>
      <c r="F10" s="50" t="n">
        <v>5000</v>
      </c>
      <c r="G10" s="50">
        <f>F10/1.16</f>
        <v/>
      </c>
      <c r="H10" s="50">
        <f>E10-G10</f>
        <v/>
      </c>
      <c r="I10" s="50">
        <f>H10*0.05</f>
        <v/>
      </c>
      <c r="J10" s="10" t="n"/>
    </row>
    <row r="11">
      <c r="A11" s="48" t="inlineStr">
        <is>
          <t>11/03/2026</t>
        </is>
      </c>
      <c r="B11" s="49" t="inlineStr">
        <is>
          <t>Emiliano Castro - ACME</t>
        </is>
      </c>
      <c r="C11" s="49" t="inlineStr">
        <is>
          <t>UPS - UPS-1000VA - 1000VA</t>
        </is>
      </c>
      <c r="D11" s="50" t="n">
        <v>28968.12</v>
      </c>
      <c r="E11" s="50">
        <f>D11/1.16</f>
        <v/>
      </c>
      <c r="F11" s="50" t="n">
        <v>6000</v>
      </c>
      <c r="G11" s="50">
        <f>F11/1.16</f>
        <v/>
      </c>
      <c r="H11" s="50">
        <f>E11-G11</f>
        <v/>
      </c>
      <c r="I11" s="50">
        <f>H11*0.05</f>
        <v/>
      </c>
      <c r="J11" s="10" t="n"/>
    </row>
    <row r="12">
      <c r="A12" s="48" t="inlineStr">
        <is>
          <t>11/03/2026</t>
        </is>
      </c>
      <c r="B12" s="49" t="inlineStr">
        <is>
          <t>Roman - OFFICE DEPOT</t>
        </is>
      </c>
      <c r="C12" s="49" t="inlineStr">
        <is>
          <t>Anticipo - UPS - UPS-1000VA - 1000VA</t>
        </is>
      </c>
      <c r="D12" s="50" t="n">
        <v>14484.06</v>
      </c>
      <c r="E12" s="50">
        <f>D12/1.16</f>
        <v/>
      </c>
      <c r="F12" s="50" t="n">
        <v>4500</v>
      </c>
      <c r="G12" s="50">
        <f>F12/1.16</f>
        <v/>
      </c>
      <c r="H12" s="50">
        <f>E12-G12</f>
        <v/>
      </c>
      <c r="I12" s="50">
        <f>H12*0.05</f>
        <v/>
      </c>
      <c r="J12" s="10" t="n"/>
    </row>
    <row r="13">
      <c r="A13" s="48" t="inlineStr">
        <is>
          <t>11/03/2026</t>
        </is>
      </c>
      <c r="B13" s="49" t="inlineStr">
        <is>
          <t>Roman - OFFICE DEPOT</t>
        </is>
      </c>
      <c r="C13" s="49" t="inlineStr">
        <is>
          <t>Saldo - UPS - UPS-1000VA - 1000VA</t>
        </is>
      </c>
      <c r="D13" s="50" t="n">
        <v>14484.06</v>
      </c>
      <c r="E13" s="50">
        <f>D13/1.16</f>
        <v/>
      </c>
      <c r="F13" s="50" t="n">
        <v>4500</v>
      </c>
      <c r="G13" s="50">
        <f>F13/1.16</f>
        <v/>
      </c>
      <c r="H13" s="50">
        <f>E13-G13</f>
        <v/>
      </c>
      <c r="I13" s="50">
        <f>H13*0.05</f>
        <v/>
      </c>
      <c r="J13" s="10" t="n"/>
    </row>
    <row r="14">
      <c r="A14" s="48" t="inlineStr">
        <is>
          <t>11/03/2026</t>
        </is>
      </c>
      <c r="B14" s="49" t="inlineStr">
        <is>
          <t>Emiliano Castro - ACME</t>
        </is>
      </c>
      <c r="C14" s="49" t="inlineStr">
        <is>
          <t>Anticipo - UPS - UPS-1000VA - 1000VA</t>
        </is>
      </c>
      <c r="D14" s="50" t="n">
        <v>28343.52</v>
      </c>
      <c r="E14" s="50">
        <f>D14/1.16</f>
        <v/>
      </c>
      <c r="F14" s="50" t="n">
        <v>4500</v>
      </c>
      <c r="G14" s="50">
        <f>F14/1.16</f>
        <v/>
      </c>
      <c r="H14" s="50">
        <f>E14-G14</f>
        <v/>
      </c>
      <c r="I14" s="50">
        <f>H14*0.05</f>
        <v/>
      </c>
      <c r="J14" s="10" t="n"/>
    </row>
    <row r="15">
      <c r="A15" s="48" t="inlineStr">
        <is>
          <t>11/03/2026</t>
        </is>
      </c>
      <c r="B15" s="49" t="inlineStr">
        <is>
          <t>Emiliano Castro - ACME</t>
        </is>
      </c>
      <c r="C15" s="49" t="inlineStr">
        <is>
          <t>Saldo - UPS - UPS-1000VA - 1000VA</t>
        </is>
      </c>
      <c r="D15" s="50" t="n">
        <v>28343.52</v>
      </c>
      <c r="E15" s="50">
        <f>D15/1.16</f>
        <v/>
      </c>
      <c r="F15" s="50" t="n">
        <v>4500</v>
      </c>
      <c r="G15" s="50">
        <f>F15/1.16</f>
        <v/>
      </c>
      <c r="H15" s="50">
        <f>E15-G15</f>
        <v/>
      </c>
      <c r="I15" s="50">
        <f>H15*0.05</f>
        <v/>
      </c>
      <c r="J15" s="10" t="n"/>
    </row>
    <row r="16">
      <c r="A16" s="48" t="inlineStr">
        <is>
          <t>11/03/2026</t>
        </is>
      </c>
      <c r="B16" s="49" t="inlineStr">
        <is>
          <t>Emiliano Castro - ACME</t>
        </is>
      </c>
      <c r="C16" s="49" t="inlineStr">
        <is>
          <t>Anticipo - UPS - UPS-1000VA - 1000VA</t>
        </is>
      </c>
      <c r="D16" s="50" t="n">
        <v>28343.52</v>
      </c>
      <c r="E16" s="50">
        <f>D16/1.16</f>
        <v/>
      </c>
      <c r="F16" s="50" t="n">
        <v>4500</v>
      </c>
      <c r="G16" s="50">
        <f>F16/1.16</f>
        <v/>
      </c>
      <c r="H16" s="50">
        <f>E16-G16</f>
        <v/>
      </c>
      <c r="I16" s="50">
        <f>H16*0.05</f>
        <v/>
      </c>
      <c r="J16" s="10" t="n"/>
    </row>
    <row r="17">
      <c r="A17" s="48" t="inlineStr">
        <is>
          <t>11/03/2026</t>
        </is>
      </c>
      <c r="B17" s="49" t="inlineStr">
        <is>
          <t>Emiliano Castro - ACME</t>
        </is>
      </c>
      <c r="C17" s="49" t="inlineStr">
        <is>
          <t>Saldo - UPS - UPS-1000VA - 1000VA</t>
        </is>
      </c>
      <c r="D17" s="50" t="n">
        <v>28343.52</v>
      </c>
      <c r="E17" s="50">
        <f>D17/1.16</f>
        <v/>
      </c>
      <c r="F17" s="50" t="n">
        <v>4500</v>
      </c>
      <c r="G17" s="50">
        <f>F17/1.16</f>
        <v/>
      </c>
      <c r="H17" s="50">
        <f>E17-G17</f>
        <v/>
      </c>
      <c r="I17" s="50">
        <f>H17*0.05</f>
        <v/>
      </c>
      <c r="J17" s="10" t="n"/>
    </row>
    <row r="18">
      <c r="A18" s="48" t="inlineStr">
        <is>
          <t>11/03/2026</t>
        </is>
      </c>
      <c r="B18" s="49" t="inlineStr">
        <is>
          <t>Elizabeth - ACURA</t>
        </is>
      </c>
      <c r="C18" s="49" t="inlineStr">
        <is>
          <t>Anticipo - UPS - UPS-1000VA - 1000VA</t>
        </is>
      </c>
      <c r="D18" s="50" t="n">
        <v>28343.52</v>
      </c>
      <c r="E18" s="50">
        <f>D18/1.16</f>
        <v/>
      </c>
      <c r="F18" s="50" t="n">
        <v>4500</v>
      </c>
      <c r="G18" s="50">
        <f>F18/1.16</f>
        <v/>
      </c>
      <c r="H18" s="50">
        <f>E18-G18</f>
        <v/>
      </c>
      <c r="I18" s="50">
        <f>H18*0.05</f>
        <v/>
      </c>
      <c r="J18" s="10" t="n"/>
    </row>
    <row r="19">
      <c r="A19" s="48" t="inlineStr">
        <is>
          <t>11/03/2026</t>
        </is>
      </c>
      <c r="B19" s="49" t="inlineStr">
        <is>
          <t>Elizabeth - ACURA</t>
        </is>
      </c>
      <c r="C19" s="49" t="inlineStr">
        <is>
          <t>Saldo - UPS - UPS-1000VA - 1000VA</t>
        </is>
      </c>
      <c r="D19" s="50" t="n">
        <v>28343.52</v>
      </c>
      <c r="E19" s="50">
        <f>D19/1.16</f>
        <v/>
      </c>
      <c r="F19" s="50" t="n">
        <v>4500</v>
      </c>
      <c r="G19" s="50">
        <f>F19/1.16</f>
        <v/>
      </c>
      <c r="H19" s="50">
        <f>E19-G19</f>
        <v/>
      </c>
      <c r="I19" s="50">
        <f>H19*0.05</f>
        <v/>
      </c>
      <c r="J19" s="10" t="n"/>
    </row>
    <row r="20">
      <c r="A20" s="48" t="inlineStr">
        <is>
          <t>11/03/2026</t>
        </is>
      </c>
      <c r="B20" s="49" t="inlineStr">
        <is>
          <t>Elizabeth - ACURA</t>
        </is>
      </c>
      <c r="C20" s="49" t="inlineStr">
        <is>
          <t>Anticipo - UPS - UPS-1000VA - 1000VA</t>
        </is>
      </c>
      <c r="D20" s="50" t="n">
        <v>28343.52</v>
      </c>
      <c r="E20" s="50">
        <f>D20/1.16</f>
        <v/>
      </c>
      <c r="F20" s="50" t="n">
        <v>4500</v>
      </c>
      <c r="G20" s="50">
        <f>F20/1.16</f>
        <v/>
      </c>
      <c r="H20" s="50">
        <f>E20-G20</f>
        <v/>
      </c>
      <c r="I20" s="50">
        <f>H20*0.05</f>
        <v/>
      </c>
      <c r="J20" s="10" t="n"/>
    </row>
    <row r="21">
      <c r="A21" s="48" t="inlineStr">
        <is>
          <t>11/03/2026</t>
        </is>
      </c>
      <c r="B21" s="49" t="inlineStr">
        <is>
          <t>Elizabeth - ACURA</t>
        </is>
      </c>
      <c r="C21" s="49" t="inlineStr">
        <is>
          <t>Saldo - UPS - UPS-1000VA - 1000VA</t>
        </is>
      </c>
      <c r="D21" s="50" t="n">
        <v>28343.52</v>
      </c>
      <c r="E21" s="50">
        <f>D21/1.16</f>
        <v/>
      </c>
      <c r="F21" s="50" t="n">
        <v>4500</v>
      </c>
      <c r="G21" s="50">
        <f>F21/1.16</f>
        <v/>
      </c>
      <c r="H21" s="50">
        <f>E21-G21</f>
        <v/>
      </c>
      <c r="I21" s="50">
        <f>H21*0.05</f>
        <v/>
      </c>
      <c r="J21" s="10" t="n"/>
    </row>
    <row r="22">
      <c r="A22" s="52" t="n"/>
      <c r="B22" s="52" t="n"/>
      <c r="C22" s="52" t="n"/>
      <c r="D22" s="52" t="n"/>
      <c r="E22" s="52" t="n"/>
      <c r="F22" s="52" t="n"/>
      <c r="G22" s="52" t="n"/>
      <c r="H22" s="53" t="inlineStr">
        <is>
          <t>TOTAL</t>
        </is>
      </c>
      <c r="I22" s="54">
        <f>SUM(I7:I21)</f>
        <v/>
      </c>
      <c r="J22" s="21" t="n"/>
    </row>
    <row r="23">
      <c r="A23" s="55" t="inlineStr">
        <is>
          <t>04/03/2026</t>
        </is>
      </c>
      <c r="B23" s="56" t="inlineStr">
        <is>
          <t>Roman - OFFICE DEPOT</t>
        </is>
      </c>
      <c r="C23" s="56" t="inlineStr">
        <is>
          <t>UPS-1000VA - 1000VA</t>
        </is>
      </c>
      <c r="D23" s="57" t="n">
        <v>8352</v>
      </c>
      <c r="E23" s="57">
        <f>D23/1.16</f>
        <v/>
      </c>
      <c r="F23" s="57" t="n">
        <v>0</v>
      </c>
      <c r="G23" s="57">
        <f>F23/1.16</f>
        <v/>
      </c>
      <c r="H23" s="57">
        <f>E23-G23</f>
        <v/>
      </c>
      <c r="I23" s="57">
        <f>H23*0.1</f>
        <v/>
      </c>
      <c r="J23" s="58" t="inlineStr">
        <is>
          <t>Marlen</t>
        </is>
      </c>
    </row>
    <row r="24">
      <c r="A24" s="59" t="n"/>
      <c r="B24" s="59" t="n"/>
      <c r="C24" s="59" t="n"/>
      <c r="D24" s="59" t="n"/>
      <c r="E24" s="59" t="n"/>
      <c r="F24" s="59" t="n"/>
      <c r="G24" s="59" t="n"/>
      <c r="H24" s="60" t="inlineStr">
        <is>
          <t>TOTAL</t>
        </is>
      </c>
      <c r="I24" s="61">
        <f>SUM(I23:I23)</f>
        <v/>
      </c>
      <c r="J24" s="21" t="n"/>
    </row>
  </sheetData>
  <mergeCells count="13">
    <mergeCell ref="A5:A6"/>
    <mergeCell ref="A1:J1"/>
    <mergeCell ref="H5:H6"/>
    <mergeCell ref="J5:J6"/>
    <mergeCell ref="F5:G5"/>
    <mergeCell ref="D5:E5"/>
    <mergeCell ref="J7:J22"/>
    <mergeCell ref="A4:J4"/>
    <mergeCell ref="A2:J2"/>
    <mergeCell ref="J23:J24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2026-03-12T05:09:57Z</dcterms:created>
  <dcterms:modified xsi:type="dcterms:W3CDTF">2026-03-12T05:09:57Z</dcterms:modified>
</cp:coreProperties>
</file>